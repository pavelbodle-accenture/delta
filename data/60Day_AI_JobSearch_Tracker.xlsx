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vel.daulat.bodle\Desktop\Exports\"/>
    </mc:Choice>
  </mc:AlternateContent>
  <xr:revisionPtr revIDLastSave="0" documentId="13_ncr:1_{D8E72C1A-572E-4C3E-8523-420DC39CD3FA}" xr6:coauthVersionLast="47" xr6:coauthVersionMax="47" xr10:uidLastSave="{00000000-0000-0000-0000-000000000000}"/>
  <bookViews>
    <workbookView xWindow="-110" yWindow="-110" windowWidth="19420" windowHeight="11500" tabRatio="761" firstSheet="3" activeTab="7" xr2:uid="{00000000-000D-0000-FFFF-FFFF00000000}"/>
  </bookViews>
  <sheets>
    <sheet name="📊 Dashboard" sheetId="1" r:id="rId1"/>
    <sheet name="📅 60-Day Planner" sheetId="2" r:id="rId2"/>
    <sheet name="📋 Applications" sheetId="3" r:id="rId3"/>
    <sheet name="📞 Outreach" sheetId="4" r:id="rId4"/>
    <sheet name="🎯 Interviews" sheetId="5" r:id="rId5"/>
    <sheet name="🚀 Projects" sheetId="6" r:id="rId6"/>
    <sheet name="📚 Study Plan" sheetId="7" r:id="rId7"/>
    <sheet name="📈 Weekly KP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9" i="8" l="1"/>
  <c r="K28" i="8"/>
  <c r="K27" i="8"/>
  <c r="K26" i="8"/>
  <c r="K25" i="8"/>
  <c r="K24" i="8"/>
  <c r="K22" i="8"/>
  <c r="K21" i="8"/>
  <c r="K20" i="8"/>
  <c r="K18" i="8"/>
  <c r="I9" i="1"/>
  <c r="E9" i="1"/>
  <c r="A9" i="1"/>
  <c r="I7" i="1"/>
  <c r="E7" i="1"/>
  <c r="A7" i="1"/>
  <c r="I5" i="1"/>
  <c r="E5" i="1"/>
  <c r="A5" i="1"/>
</calcChain>
</file>

<file path=xl/sharedStrings.xml><?xml version="1.0" encoding="utf-8"?>
<sst xmlns="http://schemas.openxmlformats.org/spreadsheetml/2006/main" count="1624" uniqueCount="799">
  <si>
    <t>🌍  60-DAY INTERNATIONAL AI/ML JOB SEARCH TRACKER</t>
  </si>
  <si>
    <t>IIT Bombay M.Tech  |  5 Years MNC  |  Dubai • UK • Germany • Netherlands • Ireland  |  Starting: 10 May 2026</t>
  </si>
  <si>
    <t>📋 APPLICATIONS</t>
  </si>
  <si>
    <t>📞 RECRUITER SCREENS</t>
  </si>
  <si>
    <t>🎯 INTERVIEWS</t>
  </si>
  <si>
    <t>Target: 115 applications</t>
  </si>
  <si>
    <t>Total outreach sent</t>
  </si>
  <si>
    <t>Total interview rounds</t>
  </si>
  <si>
    <t>Active in pipeline</t>
  </si>
  <si>
    <t>Responses received</t>
  </si>
  <si>
    <t>Rounds passed</t>
  </si>
  <si>
    <t>Offers received</t>
  </si>
  <si>
    <t>Calls scheduled</t>
  </si>
  <si>
    <t>Offers from interviews</t>
  </si>
  <si>
    <t>📈 WEEKLY PROGRESS SNAPSHOT</t>
  </si>
  <si>
    <t>Week</t>
  </si>
  <si>
    <t>Dates</t>
  </si>
  <si>
    <t>Apps Sent</t>
  </si>
  <si>
    <t>Recruiter Screens</t>
  </si>
  <si>
    <t>Tech Rounds</t>
  </si>
  <si>
    <t>Study Hours</t>
  </si>
  <si>
    <t>LeetCode</t>
  </si>
  <si>
    <t>Projects</t>
  </si>
  <si>
    <t>LinkedIn Posts</t>
  </si>
  <si>
    <t>Notes</t>
  </si>
  <si>
    <t>Week 1</t>
  </si>
  <si>
    <t>May 10–16</t>
  </si>
  <si>
    <t>Target: 5</t>
  </si>
  <si>
    <t>0</t>
  </si>
  <si>
    <t>20h+</t>
  </si>
  <si>
    <t>5</t>
  </si>
  <si>
    <t>0 deployed</t>
  </si>
  <si>
    <t>1</t>
  </si>
  <si>
    <t>Foundation setup</t>
  </si>
  <si>
    <t>Week 2</t>
  </si>
  <si>
    <t>May 17–23</t>
  </si>
  <si>
    <t>Target: 15</t>
  </si>
  <si>
    <t>0–1</t>
  </si>
  <si>
    <t>25h</t>
  </si>
  <si>
    <t>10</t>
  </si>
  <si>
    <t>Project 1 started</t>
  </si>
  <si>
    <t>First outreach</t>
  </si>
  <si>
    <t>Week 3</t>
  </si>
  <si>
    <t>May 24–30</t>
  </si>
  <si>
    <t>1–2</t>
  </si>
  <si>
    <t>15</t>
  </si>
  <si>
    <t>Project 1 deployed</t>
  </si>
  <si>
    <t>First recruiter call</t>
  </si>
  <si>
    <t>Week 4</t>
  </si>
  <si>
    <t>May 31–Jun 6</t>
  </si>
  <si>
    <t>2–3</t>
  </si>
  <si>
    <t>20</t>
  </si>
  <si>
    <t>Project 2 deployed</t>
  </si>
  <si>
    <t>Fine-tuning + coding</t>
  </si>
  <si>
    <t>Week 5</t>
  </si>
  <si>
    <t>Jun 7–13</t>
  </si>
  <si>
    <t>25</t>
  </si>
  <si>
    <t>Project 3 started</t>
  </si>
  <si>
    <t>Tech interviews begin</t>
  </si>
  <si>
    <t>Week 6</t>
  </si>
  <si>
    <t>Jun 14–20</t>
  </si>
  <si>
    <t>2–4</t>
  </si>
  <si>
    <t>20h</t>
  </si>
  <si>
    <t>30</t>
  </si>
  <si>
    <t>Project 4 started</t>
  </si>
  <si>
    <t>UAE offer possible</t>
  </si>
  <si>
    <t>Week 7</t>
  </si>
  <si>
    <t>Jun 21–27</t>
  </si>
  <si>
    <t>35</t>
  </si>
  <si>
    <t>Project 5 started</t>
  </si>
  <si>
    <t>Offer conversion</t>
  </si>
  <si>
    <t>Week 8</t>
  </si>
  <si>
    <t>Jun 28–Jul 4</t>
  </si>
  <si>
    <t>Target: 10</t>
  </si>
  <si>
    <t>15h</t>
  </si>
  <si>
    <t>40</t>
  </si>
  <si>
    <t>All 5 deployed</t>
  </si>
  <si>
    <t>Negotiate offers</t>
  </si>
  <si>
    <t>Week 9</t>
  </si>
  <si>
    <t>Jul 5–10</t>
  </si>
  <si>
    <t>1–3</t>
  </si>
  <si>
    <t>10h</t>
  </si>
  <si>
    <t>45</t>
  </si>
  <si>
    <t>Complete</t>
  </si>
  <si>
    <t>Accept best offer</t>
  </si>
  <si>
    <t>🏆 KEY MILESTONES CHECKLIST</t>
  </si>
  <si>
    <t>Milestone</t>
  </si>
  <si>
    <t>Status</t>
  </si>
  <si>
    <t>Date Completed</t>
  </si>
  <si>
    <t>LinkedIn All-Star status achieved</t>
  </si>
  <si>
    <t>⬜ Not Started</t>
  </si>
  <si>
    <t>Master resume v1.0 created &amp; ATS-optimized</t>
  </si>
  <si>
    <t>UAE resume v1.1 ready</t>
  </si>
  <si>
    <t>UK resume v1.2 ready</t>
  </si>
  <si>
    <t>GitHub cleaned — 3 projects pinned</t>
  </si>
  <si>
    <t>20 UAE recruiters connected on LinkedIn</t>
  </si>
  <si>
    <t>20 UK/Europe recruiters connected</t>
  </si>
  <si>
    <t>First 5 applications submitted</t>
  </si>
  <si>
    <t>Project 1 (Enterprise RAG) — DEPLOYED on GCP</t>
  </si>
  <si>
    <t>Project 2 (Multi-Agent LangGraph) — DEPLOYED</t>
  </si>
  <si>
    <t>Project 3 (AI Marketing Automation) — DEPLOYED</t>
  </si>
  <si>
    <t>Project 4 (Full MLOps Stack) — DEPLOYED</t>
  </si>
  <si>
    <t>Project 5 (Multi-Tenant SaaS) — DEPLOYED</t>
  </si>
  <si>
    <t>First recruiter screen completed</t>
  </si>
  <si>
    <t>First technical interview completed</t>
  </si>
  <si>
    <t>First UAE offer received</t>
  </si>
  <si>
    <t>First European offer received</t>
  </si>
  <si>
    <t>Salary negotiated successfully</t>
  </si>
  <si>
    <t>Visa sponsorship confirmed</t>
  </si>
  <si>
    <t>Offer accepted — notice period started</t>
  </si>
  <si>
    <t>📅  60-DAY DAILY ACTIVITY PLANNER  |  10 May – 10 July 2026</t>
  </si>
  <si>
    <t>Day</t>
  </si>
  <si>
    <t>Date</t>
  </si>
  <si>
    <t>Priority</t>
  </si>
  <si>
    <t>Morning Task (Study/Build)</t>
  </si>
  <si>
    <t>Afternoon Task (Prep/Apply)</t>
  </si>
  <si>
    <t>Evening Task (LeetCode/Outreach)</t>
  </si>
  <si>
    <t>Apps Target</t>
  </si>
  <si>
    <t>Sun 10 May</t>
  </si>
  <si>
    <t>🔴 CRITICAL</t>
  </si>
  <si>
    <t>Update LinkedIn headline + About section + experience bullets</t>
  </si>
  <si>
    <t>Create master resume v1.0 — ATS format, quantified bullets</t>
  </si>
  <si>
    <t>GitHub audit: clean repos, write READMEs, pin 3 best projects</t>
  </si>
  <si>
    <t>9h</t>
  </si>
  <si>
    <t>Mon 11 May</t>
  </si>
  <si>
    <t>Create accounts: LinkedIn Premium, Naukri Gulf, GulfTalent, Bayt, Wellfound</t>
  </si>
  <si>
    <t>Set up Job Application Tracker (all 8 tabs from Section 9)</t>
  </si>
  <si>
    <t>Research 50 target companies (20 UAE, 20 UK, 10 DE). Add to tracker</t>
  </si>
  <si>
    <t>7h</t>
  </si>
  <si>
    <t>Tue 12 May</t>
  </si>
  <si>
    <t>🟠 HIGH</t>
  </si>
  <si>
    <t>Python: OOP — metaclasses, abstract classes, design patterns, decorators</t>
  </si>
  <si>
    <t>Connect with 10 UAE recruiters on LinkedIn (use DM template)</t>
  </si>
  <si>
    <t>SQL: Window functions — ROW_NUMBER, RANK, LAG, LEAD. LeetCode SQL x5</t>
  </si>
  <si>
    <t>6h</t>
  </si>
  <si>
    <t>Wed 13 May</t>
  </si>
  <si>
    <t>Statistics: CLT, hypothesis testing, p-values, confidence intervals</t>
  </si>
  <si>
    <t>Create UAE-specific resume v1.1 (add nationality note, optimize for Gulf)</t>
  </si>
  <si>
    <t>ML: Bias-variance, regularization (L1/L2), cross-validation</t>
  </si>
  <si>
    <t>Thu 14 May</t>
  </si>
  <si>
    <t>GenAI: RAG architecture deep dive — chunking strategies, embedding models</t>
  </si>
  <si>
    <t>Write LinkedIn post #1: '5 lessons from building production RAG systems'</t>
  </si>
  <si>
    <t>LangChain/LangGraph: chains, agents, memory, tool calling. Read docs</t>
  </si>
  <si>
    <t>5h</t>
  </si>
  <si>
    <t>Fri 15 May</t>
  </si>
  <si>
    <t>System Design: CAP theorem, microservices, API design, load balancing</t>
  </si>
  <si>
    <t>ML System Design: feature stores, model serving patterns, A/B testing</t>
  </si>
  <si>
    <t>Behavioral: Write 5 STAR stories (leadership, conflict, impact, failure)</t>
  </si>
  <si>
    <t>Sat 16 May</t>
  </si>
  <si>
    <t>🟡 MEDIUM</t>
  </si>
  <si>
    <t>Deep Learning: backprop, CNN architectures, attention mechanism</t>
  </si>
  <si>
    <t>Apply to FIRST 5 carefully selected UAE roles (tailored, not spray)</t>
  </si>
  <si>
    <t>Vector Databases: Pinecone, Weaviate, Qdrant. Understand HNSW, ANN</t>
  </si>
  <si>
    <t>8h</t>
  </si>
  <si>
    <t>Sun 17 May</t>
  </si>
  <si>
    <t>Project 1 START: Design Enterprise RAG architecture. Write README first</t>
  </si>
  <si>
    <t>Project 1: Document parser (Docling/PyMuPDF), chunking, BGE embeddings</t>
  </si>
  <si>
    <t>Apply 5 UK roles. Set up Qdrant locally</t>
  </si>
  <si>
    <t>Mon 18 May</t>
  </si>
  <si>
    <t>Project 1: Retrieval layer (Qdrant), reranking (Cohere), generation chain</t>
  </si>
  <si>
    <t>LLM Study: tokenization, BPE, attention math, transformer architecture</t>
  </si>
  <si>
    <t>LLM: Fine-tuning methods — LoRA, QLoRA, PEFT deep dive</t>
  </si>
  <si>
    <t>Tue 19 May</t>
  </si>
  <si>
    <t>FastAPI: async routes, dependency injection, JWT auth, background tasks</t>
  </si>
  <si>
    <t>LangGraph: StateGraph, nodes, conditional edges, human-in-the-loop</t>
  </si>
  <si>
    <t>Apply 3 Germany/Netherlands roles. Research EU Blue Card requirements</t>
  </si>
  <si>
    <t>Wed 20 May</t>
  </si>
  <si>
    <t>Vector DB deep dive: HNSW index, product quantization, hybrid search</t>
  </si>
  <si>
    <t>RAG Evaluation: RAGAS — faithfulness, context precision, answer relevancy</t>
  </si>
  <si>
    <t>Project 1: Add RAGAS evaluation module. Push to GitHub</t>
  </si>
  <si>
    <t>Thu 21 May</t>
  </si>
  <si>
    <t>Statistics: Bayesian inference, A/B testing sample size, MLE/MAP</t>
  </si>
  <si>
    <t>LinkedIn post #2: 'Why RAG evaluation matters more than RAG retrieval'</t>
  </si>
  <si>
    <t>Cold outreach: message 20 hiring managers at UAE/UK target companies</t>
  </si>
  <si>
    <t>Fri 22 May</t>
  </si>
  <si>
    <t>ML: XGBoost, LightGBM, SHAP values, feature importance, Optuna</t>
  </si>
  <si>
    <t>Behavioral prep: Add 5 STAR stories — 'no authority', ambiguous projects</t>
  </si>
  <si>
    <t>Apply 5 Ireland/France roles</t>
  </si>
  <si>
    <t>Sat 23 May</t>
  </si>
  <si>
    <t>Self mock interview (record): 5 tech questions + 3 behavioral</t>
  </si>
  <si>
    <t>ML System Design: Design 'Recommendation system for e-commerce' end-to-end</t>
  </si>
  <si>
    <t>Week review: analyze tracker, update resume if needed, plan week 3</t>
  </si>
  <si>
    <t>Sun 24 May</t>
  </si>
  <si>
    <t>Project 1 FINALIZE: FastAPI backend + Streamlit frontend + Docker</t>
  </si>
  <si>
    <t>Project 1 DEPLOY to GCP Cloud Run. Update resume with deployment bullet</t>
  </si>
  <si>
    <t>Apply 5 roles + follow-up on all Week 1–2 applications</t>
  </si>
  <si>
    <t>Mon 25 May</t>
  </si>
  <si>
    <t>Project 2 START: Multi-Agent System — design LangGraph orchestrator + 3 sub-agents</t>
  </si>
  <si>
    <t>Deep Learning: Transformers detail — multi-head attention, positional encoding</t>
  </si>
  <si>
    <t>NLP: NER, semantic similarity, sentence embeddings (SBERT)</t>
  </si>
  <si>
    <t>Tue 26 May</t>
  </si>
  <si>
    <t>GCP deep dive: Cloud Run, Vertex AI Pipelines, BigQuery ML, Pub/Sub</t>
  </si>
  <si>
    <t>MLOps: MLflow experiment tracking, model registry, CI/CD for ML</t>
  </si>
  <si>
    <t>Apply 3 more roles. Research salary ranges for your level in each country</t>
  </si>
  <si>
    <t>Wed 27 May</t>
  </si>
  <si>
    <t>LeetCode INTENSIVE: Sliding Window x5, Hash Maps x5</t>
  </si>
  <si>
    <t>ML from scratch (numpy): logistic regression, gradient descent, backprop</t>
  </si>
  <si>
    <t>LinkedIn post #3: 'My architecture for building multi-agent AI systems'</t>
  </si>
  <si>
    <t>Thu 28 May</t>
  </si>
  <si>
    <t>Recruiter call script: elevator pitch (60 sec), visa discussion, salary prep</t>
  </si>
  <si>
    <t>Docker: Dockerfile, docker-compose, multi-stage builds, networking</t>
  </si>
  <si>
    <t>Research each target company: products, recent AI news, tech stack</t>
  </si>
  <si>
    <t>Fri 29 May</t>
  </si>
  <si>
    <t>ML System Design: 'Real-time fraud detection' — features → serving → monitoring</t>
  </si>
  <si>
    <t>System Design: scalable REST API with caching, rate limiting, auth</t>
  </si>
  <si>
    <t>Apply 3 more roles</t>
  </si>
  <si>
    <t>Sat 30 May</t>
  </si>
  <si>
    <t>Mock technical interview #2 (Pramp/Interviewing.io): ML + 1 coding problem</t>
  </si>
  <si>
    <t>Week 3 review: response rate analysis, update resume if needed</t>
  </si>
  <si>
    <t>Project 2: Build orchestrator with LangGraph. Tool definitions for sub-agents</t>
  </si>
  <si>
    <t>Sun 31 May</t>
  </si>
  <si>
    <t>LLM Fine-tuning hands-on: QLoRA with Llama/Mistral on Google Colab</t>
  </si>
  <si>
    <t>Project 2: Add web search + paper reader + fact checker agents</t>
  </si>
  <si>
    <t>Apply 5 roles across all target countries + LinkedIn outreach</t>
  </si>
  <si>
    <t>Mon 01 Jun</t>
  </si>
  <si>
    <t>Project 2 COMPLETE: FastAPI streaming backend + Streamlit frontend</t>
  </si>
  <si>
    <t>Project 2 DEPLOY to GCP Cloud Run. Push to GitHub. Update resume</t>
  </si>
  <si>
    <t>LLM Study: DPO vs RLHF, reward modeling, preference data</t>
  </si>
  <si>
    <t>Tue 02 Jun</t>
  </si>
  <si>
    <t>Embeddings: word2vec, GloVe, BERT, contrastive learning, matryoshka</t>
  </si>
  <si>
    <t>Prompt engineering: structured outputs, function calling, ReAct pattern</t>
  </si>
  <si>
    <t>Apply 3 roles + follow-up all previous applications</t>
  </si>
  <si>
    <t>Wed 03 Jun</t>
  </si>
  <si>
    <t>AI evaluation: BLEU, ROUGE, LLM-as-judge, human eval frameworks</t>
  </si>
  <si>
    <t>Kubernetes basics: pods, deployments, services, ingress, HPA</t>
  </si>
  <si>
    <t>LinkedIn post #4: 'How I built a 6-agent research system with LangGraph'</t>
  </si>
  <si>
    <t>Thu 04 Jun</t>
  </si>
  <si>
    <t>Distributed systems: consistency models, sharding, message queues (Kafka)</t>
  </si>
  <si>
    <t>Model monitoring: data drift, concept drift, Evidently AI, PromptLayer</t>
  </si>
  <si>
    <t>Apply 3 roles. Target IIT Bombay alumni at companies for referrals</t>
  </si>
  <si>
    <t>Fri 05 Jun</t>
  </si>
  <si>
    <t>AI security: prompt injection defenses, adversarial examples, guardrails</t>
  </si>
  <si>
    <t>Salary negotiation deep prep: anchoring, competing offers, relocation ask</t>
  </si>
  <si>
    <t>Behavioral: 5 more STAR stories — scale, cross-functional, vision</t>
  </si>
  <si>
    <t>Sat 06 Jun</t>
  </si>
  <si>
    <t>Full mock interview #3 (all rounds): HR + tech + system design + behavioral</t>
  </si>
  <si>
    <t>Project 3 START: AI Marketing Automation — design architecture</t>
  </si>
  <si>
    <t>Week 4 review + update all trackers</t>
  </si>
  <si>
    <t>Sun 07 Jun</t>
  </si>
  <si>
    <t>Project 3: Customer segmentation (K-means + RFM), CTR prediction (XGBoost)</t>
  </si>
  <si>
    <t>Project 3: Content generation pipeline with Vertex AI prompt templates</t>
  </si>
  <si>
    <t>Apply 5 roles + deep company research for upcoming interviews</t>
  </si>
  <si>
    <t>Mon 08 Jun</t>
  </si>
  <si>
    <t>Project 3 COMPLETE: MLflow tracking + FastAPI + Cloud Scheduler deploy</t>
  </si>
  <si>
    <t>Project 3 DEPLOY to GCP. Update resume. Push GitHub</t>
  </si>
  <si>
    <t>LLM: context window management, positional encoding types (RoPE, ALiBi)</t>
  </si>
  <si>
    <t>Tue 09 Jun</t>
  </si>
  <si>
    <t>Inference optimization: KV cache, speculative decoding, vLLM, quantization</t>
  </si>
  <si>
    <t>Prep for scheduled tech interview (company-specific research)</t>
  </si>
  <si>
    <t>Apply 3 roles</t>
  </si>
  <si>
    <t>Wed 10 Jun</t>
  </si>
  <si>
    <t>ML System Design: 'LLM-powered customer support system' end-to-end</t>
  </si>
  <si>
    <t>LeetCode: Binary Search x5, Two Pointers x5</t>
  </si>
  <si>
    <t>Follow up on all Week 3+ applications</t>
  </si>
  <si>
    <t>Thu 11 Jun</t>
  </si>
  <si>
    <t>Data Engineering basics: dbt, Airflow DAGs, data modeling, star schema</t>
  </si>
  <si>
    <t>Case study prep: 'Design RAG for enterprise with 1M documents'</t>
  </si>
  <si>
    <t>LinkedIn post #5: 'Production RAG lessons — what actually matters'</t>
  </si>
  <si>
    <t>Fri 12 Jun</t>
  </si>
  <si>
    <t>Multi-agent advanced patterns: debate, critique, nested graphs</t>
  </si>
  <si>
    <t>Mock technical deep dive: LLM Q&amp;A + agentic system design (60 min solo)</t>
  </si>
  <si>
    <t>Apply 3 roles + recruiter follow-up messages</t>
  </si>
  <si>
    <t>Sat 13 Jun</t>
  </si>
  <si>
    <t>Full mock panel interview #4 (friend/mentor): simulate 3-interview day</t>
  </si>
  <si>
    <t>Project 4 START: Production MLOps System — Feast + MLflow + Evidently design</t>
  </si>
  <si>
    <t>Week 5 review + metrics</t>
  </si>
  <si>
    <t>Sun 14 Jun</t>
  </si>
  <si>
    <t>Project 4: Feast feature store setup, XGBoost training pipeline, MLflow</t>
  </si>
  <si>
    <t>Project 4: BentoML serving + Evidently drift detection + Cloud Run deploy</t>
  </si>
  <si>
    <t>Apply 5 roles. Personalized cold emails to CTOs/AI leads at target startups</t>
  </si>
  <si>
    <t>Mon 15 Jun</t>
  </si>
  <si>
    <t>Project 4 COMPLETE + DEPLOY. Update resume. Write architecture blog post</t>
  </si>
  <si>
    <t>LLM: multimodal models, document AI, vision-language models overview</t>
  </si>
  <si>
    <t>Apply 5 roles</t>
  </si>
  <si>
    <t>Tue 16 Jun</t>
  </si>
  <si>
    <t>Coding: Graph algorithms x5 — BFS, DFS, shortest path (Dijkstra)</t>
  </si>
  <si>
    <t>Company deep research for any interviews scheduled this week</t>
  </si>
  <si>
    <t>Wed 17 Jun</t>
  </si>
  <si>
    <t>Coding: Dynamic Programming x5 — knapsack, LCS, coin change</t>
  </si>
  <si>
    <t>ML System Design: 'Feature store for 100M users real-time'</t>
  </si>
  <si>
    <t>Follow up all applications older than 14 days</t>
  </si>
  <si>
    <t>Thu 18 Jun</t>
  </si>
  <si>
    <t>Mock full-day interview simulation: 4 rounds back-to-back (4 hours)</t>
  </si>
  <si>
    <t>Resume v3.0: incorporate all new project bullets, refresh metrics</t>
  </si>
  <si>
    <t>LinkedIn post #6: 'MLOps stack for production AI systems'</t>
  </si>
  <si>
    <t>Fri 19 Jun</t>
  </si>
  <si>
    <t>Data structures review: trees, heaps, tries — implement from scratch</t>
  </si>
  <si>
    <t>Offer evaluation framework: salary + equity + visa + relocation + growth</t>
  </si>
  <si>
    <t>Sat 20 Jun</t>
  </si>
  <si>
    <t>Week 6 review + rest day (no heavy studying)</t>
  </si>
  <si>
    <t>Project 5 START: Multi-Tenant SaaS — design data isolation architecture</t>
  </si>
  <si>
    <t>Catch up on applications + follow-ups</t>
  </si>
  <si>
    <t>4h</t>
  </si>
  <si>
    <t>Sun 21 Jun</t>
  </si>
  <si>
    <t>Project 5: Confluence/GDrive connectors, chunking, Qdrant multi-collection</t>
  </si>
  <si>
    <t>Project 5: JWT + RBAC auth, FastAPI middleware, PostgreSQL tenant config</t>
  </si>
  <si>
    <t>Apply 5 roles + IIT Bombay alumni network outreach (10 messages)</t>
  </si>
  <si>
    <t>Mon 22 Jun</t>
  </si>
  <si>
    <t>Project 5 COMPLETE + DEPLOY. Update resume — 5 projects all live</t>
  </si>
  <si>
    <t>Revision: all 5 projects' architectures — explain each in 5 minutes</t>
  </si>
  <si>
    <t>Tue 23 Jun</t>
  </si>
  <si>
    <t>Deep prep for scheduled interviews this week (company-specific)</t>
  </si>
  <si>
    <t>LLM safety: constitutional AI, RLHF alignment, hallucination techniques</t>
  </si>
  <si>
    <t>Wed 24 Jun</t>
  </si>
  <si>
    <t>Revision marathon: LLM architecture → RAG → Agents → MLOps (1h each)</t>
  </si>
  <si>
    <t>Practice system design out loud (record yourself): 2 designs</t>
  </si>
  <si>
    <t>Apply 3 roles + follow-ups</t>
  </si>
  <si>
    <t>Thu 25 Jun</t>
  </si>
  <si>
    <t>Salary negotiation role-play with friend or record yourself</t>
  </si>
  <si>
    <t>Research relocation costs, neighborhoods, cost of living for top target cities</t>
  </si>
  <si>
    <t>LinkedIn post #7: showcase all 5 projects in one post</t>
  </si>
  <si>
    <t>Fri 26 Jun</t>
  </si>
  <si>
    <t>Final mock interview #5 — complete interview loop simulation</t>
  </si>
  <si>
    <t>Prepare questions to ask interviewers (5 smart questions per company)</t>
  </si>
  <si>
    <t>Sat 27 Jun</t>
  </si>
  <si>
    <t>Week 7 review — assess pipeline, double down on highest-activity channels</t>
  </si>
  <si>
    <t>Evaluate any offers received. Research counter-offer negotiation tactics</t>
  </si>
  <si>
    <t>Catch-up on applications</t>
  </si>
  <si>
    <t>Sun 28 Jun</t>
  </si>
  <si>
    <t>Offer management: compare offers in detail (salary, equity, visa, culture)</t>
  </si>
  <si>
    <t>Negotiate salary: email/call script prep for each pending offer</t>
  </si>
  <si>
    <t>Apply 5 roles to maintain pipeline pressure</t>
  </si>
  <si>
    <t>Mon 29 Jun</t>
  </si>
  <si>
    <t>If no offer yet: audit resume + LinkedIn. Get reviewed by 2 more people</t>
  </si>
  <si>
    <t>Expand: add Canada (Toronto), Singapore, Australia to application pipeline</t>
  </si>
  <si>
    <t>Apply 5 roles — also try contract/freelance AI roles</t>
  </si>
  <si>
    <t>Tue 30 Jun</t>
  </si>
  <si>
    <t>Deep prep for any live interviews in pipeline this week</t>
  </si>
  <si>
    <t>Practice visa discussion: frame positively, know exact process</t>
  </si>
  <si>
    <t>Wed 01 Jul</t>
  </si>
  <si>
    <t>Review: ML fundamentals rapid-fire Q&amp;A (self-test 30 questions)</t>
  </si>
  <si>
    <t>Update LinkedIn about section to reflect all 5 deployed projects</t>
  </si>
  <si>
    <t>Apply 3 roles + follow-up</t>
  </si>
  <si>
    <t>Thu 02 Jul</t>
  </si>
  <si>
    <t>System design: practice 2 new questions from the top-10 list</t>
  </si>
  <si>
    <t>Revision: statistics and probability rapid fire (20 questions)</t>
  </si>
  <si>
    <t>LinkedIn post #8: project demo or technical insight</t>
  </si>
  <si>
    <t>Fri 03 Jul</t>
  </si>
  <si>
    <t>Behavioral FINAL PREP: all 10 STAR stories polished and timed</t>
  </si>
  <si>
    <t>Research immigration consultants/lawyers for chosen target country</t>
  </si>
  <si>
    <t>Sat 04 Jul</t>
  </si>
  <si>
    <t>Week 8 review. Calculate pipeline statistics. Identify conversion weak spots</t>
  </si>
  <si>
    <t>Rest + recovery. Light reading only.</t>
  </si>
  <si>
    <t>Update all trackers with current status</t>
  </si>
  <si>
    <t>3h</t>
  </si>
  <si>
    <t>Sun 05 Jul</t>
  </si>
  <si>
    <t>Active interview follow-ups. Thank you notes within 24h of each round</t>
  </si>
  <si>
    <t>If multiple offers: create comparison matrix (total comp, visa, growth)</t>
  </si>
  <si>
    <t>Apply 5 roles — keep volume up</t>
  </si>
  <si>
    <t>Mon 06 Jul</t>
  </si>
  <si>
    <t>Negotiate final offer: salary + equity + relocation + signing bonus</t>
  </si>
  <si>
    <t>Research target country's tax system, banking, housing</t>
  </si>
  <si>
    <t>Tue 07 Jul</t>
  </si>
  <si>
    <t>Final round prep for any companies still in process</t>
  </si>
  <si>
    <t>Visa application checklist: gather all documents needed</t>
  </si>
  <si>
    <t>Wed 08 Jul</t>
  </si>
  <si>
    <t>FINAL DAY: Review 60-day journey. Accept best offer. Plan notice period.</t>
  </si>
  <si>
    <t>Write LinkedIn post announcing move (after acceptance)</t>
  </si>
  <si>
    <t>Celebrate 🎉 — you did it</t>
  </si>
  <si>
    <t>2h</t>
  </si>
  <si>
    <t>📋  JOB APPLICATION TRACKER  |  Target: 115+ Applications in 60 Days</t>
  </si>
  <si>
    <t>#</t>
  </si>
  <si>
    <t>Date Applied</t>
  </si>
  <si>
    <t>Company</t>
  </si>
  <si>
    <t>Role Title</t>
  </si>
  <si>
    <t>Location</t>
  </si>
  <si>
    <t>Country</t>
  </si>
  <si>
    <t>Platform</t>
  </si>
  <si>
    <t>Resume Version</t>
  </si>
  <si>
    <t>JD URL</t>
  </si>
  <si>
    <t>Recruiter</t>
  </si>
  <si>
    <t>Follow-up Date</t>
  </si>
  <si>
    <t>Salary Range</t>
  </si>
  <si>
    <t>10/05/2026</t>
  </si>
  <si>
    <t>Example: G42</t>
  </si>
  <si>
    <t>Senior AI Engineer</t>
  </si>
  <si>
    <t>Applied</t>
  </si>
  <si>
    <t>Abu Dhabi</t>
  </si>
  <si>
    <t>UAE/Dubai</t>
  </si>
  <si>
    <t>LinkedIn</t>
  </si>
  <si>
    <t>v1.1-UAE</t>
  </si>
  <si>
    <t>https://g42.ai/careers</t>
  </si>
  <si>
    <t>Jane Smith</t>
  </si>
  <si>
    <t>24/05/2026</t>
  </si>
  <si>
    <t>🔴 High</t>
  </si>
  <si>
    <t>AED 40–50K/mo</t>
  </si>
  <si>
    <t>Strong fit — GenAI focus</t>
  </si>
  <si>
    <t>12/05/2026</t>
  </si>
  <si>
    <t>Example: DeepMind</t>
  </si>
  <si>
    <t>Research Engineer (LLM)</t>
  </si>
  <si>
    <t>London</t>
  </si>
  <si>
    <t>UK</t>
  </si>
  <si>
    <t>Direct (Website)</t>
  </si>
  <si>
    <t>v1.2-UK</t>
  </si>
  <si>
    <t>https://deepmind.com/careers</t>
  </si>
  <si>
    <t>26/05/2026</t>
  </si>
  <si>
    <t>£90–110K/yr</t>
  </si>
  <si>
    <t>Apply to team page directly</t>
  </si>
  <si>
    <t>14/05/2026</t>
  </si>
  <si>
    <t>Example: Booking.com</t>
  </si>
  <si>
    <t>ML Engineer</t>
  </si>
  <si>
    <t>Amsterdam</t>
  </si>
  <si>
    <t>Netherlands</t>
  </si>
  <si>
    <t>v1.3-NL</t>
  </si>
  <si>
    <t>https://jobs.booking.com</t>
  </si>
  <si>
    <t>28/05/2026</t>
  </si>
  <si>
    <t>🟡 Medium</t>
  </si>
  <si>
    <t>€85–100K/yr</t>
  </si>
  <si>
    <t>30% ruling applies</t>
  </si>
  <si>
    <t>📞  RECRUITER &amp; HIRING MANAGER OUTREACH TRACKER  |  Target: 100+ Contacts</t>
  </si>
  <si>
    <t>Name</t>
  </si>
  <si>
    <t>Title</t>
  </si>
  <si>
    <t>Msg Sent?</t>
  </si>
  <si>
    <t>Response?</t>
  </si>
  <si>
    <t>Outcome</t>
  </si>
  <si>
    <t>Follow-up #1</t>
  </si>
  <si>
    <t>Follow-up #2</t>
  </si>
  <si>
    <t>LinkedIn URL</t>
  </si>
  <si>
    <t>Example: Sarah Al-Rashid</t>
  </si>
  <si>
    <t>Technical Recruiter</t>
  </si>
  <si>
    <t>G42</t>
  </si>
  <si>
    <t>Yes</t>
  </si>
  <si>
    <t>Not Yet</t>
  </si>
  <si>
    <t>Pending</t>
  </si>
  <si>
    <t>07/06/2026</t>
  </si>
  <si>
    <t>linkedin.com/in/...</t>
  </si>
  <si>
    <t>Sent DM template on Day 3</t>
  </si>
  <si>
    <t>Example: Tom Richards</t>
  </si>
  <si>
    <t>Talent Acquisition</t>
  </si>
  <si>
    <t>DeepMind</t>
  </si>
  <si>
    <t>Connected after applying</t>
  </si>
  <si>
    <t>🎯  INTERVIEW TRACKER  |  Goal: 10–21 Rounds | 1–3 Offers by Day 60</t>
  </si>
  <si>
    <t>Role</t>
  </si>
  <si>
    <t>Round #</t>
  </si>
  <si>
    <t>Type</t>
  </si>
  <si>
    <t>Date &amp; Time</t>
  </si>
  <si>
    <t>Interviewer</t>
  </si>
  <si>
    <t>Format</t>
  </si>
  <si>
    <t>Salary Discussed</t>
  </si>
  <si>
    <t>Outcome / Next Steps</t>
  </si>
  <si>
    <t>Questions Asked</t>
  </si>
  <si>
    <t>My Notes</t>
  </si>
  <si>
    <t>🚀  PROJECT TRACKER  |  5 Production AI Projects | Target: All Deployed by Day 50</t>
  </si>
  <si>
    <t>Project</t>
  </si>
  <si>
    <t>Target Role</t>
  </si>
  <si>
    <t>Tech Stack</t>
  </si>
  <si>
    <t>Time Estimate</t>
  </si>
  <si>
    <t>Start Day</t>
  </si>
  <si>
    <t>Deploy Day</t>
  </si>
  <si>
    <t>GitHub URL</t>
  </si>
  <si>
    <t>Project 1</t>
  </si>
  <si>
    <t>Enterprise RAG Platform with Evaluation</t>
  </si>
  <si>
    <t>GenAI/LLM Engineer</t>
  </si>
  <si>
    <t>Qdrant + BGE-large + RAGAS + FastAPI + GCP</t>
  </si>
  <si>
    <t>2 weekends (16–20h)</t>
  </si>
  <si>
    <t>Day 8</t>
  </si>
  <si>
    <t>Day 15</t>
  </si>
  <si>
    <t>https://github.com/yourusername/enterprise-rag</t>
  </si>
  <si>
    <t>Project 2</t>
  </si>
  <si>
    <t>Multi-Agent Research &amp; Report Generation</t>
  </si>
  <si>
    <t>AI Agent / LLM Engineer</t>
  </si>
  <si>
    <t>LangGraph + Tavily + PostgreSQL checkpointer + FastAPI</t>
  </si>
  <si>
    <t>3 weekends (20–25h)</t>
  </si>
  <si>
    <t>Day 23</t>
  </si>
  <si>
    <t>https://github.com/yourusername/multi-agent-research</t>
  </si>
  <si>
    <t>Project 3</t>
  </si>
  <si>
    <t>AI Marketing Campaign Automation</t>
  </si>
  <si>
    <t>Data Scientist / ML Engineer</t>
  </si>
  <si>
    <t>XGBoost + Vertex AI + MLflow + Cloud Scheduler</t>
  </si>
  <si>
    <t>2 weekends (14–18h)</t>
  </si>
  <si>
    <t>Day 22</t>
  </si>
  <si>
    <t>Day 30</t>
  </si>
  <si>
    <t>https://github.com/yourusername/ai-marketing</t>
  </si>
  <si>
    <t>Project 4</t>
  </si>
  <si>
    <t>Production ML System with Full MLOps Stack</t>
  </si>
  <si>
    <t>ML Engineer / MLOps</t>
  </si>
  <si>
    <t>Feast + MLflow + BentoML + Evidently + Terraform + CI/CD</t>
  </si>
  <si>
    <t>Day 29</t>
  </si>
  <si>
    <t>Day 37</t>
  </si>
  <si>
    <t>https://github.com/yourusername/mlops-stack</t>
  </si>
  <si>
    <t>Project 5</t>
  </si>
  <si>
    <t>Multi-Tenant AI Knowledge Assistant (SaaS)</t>
  </si>
  <si>
    <t>Senior AI/GenAI Engineer</t>
  </si>
  <si>
    <t>Qdrant multi-collection + FastAPI + PostgreSQL + Redis + JWT/RBAC</t>
  </si>
  <si>
    <t>4 weekends (28–35h)</t>
  </si>
  <si>
    <t>Day 36</t>
  </si>
  <si>
    <t>Day 44</t>
  </si>
  <si>
    <t>https://github.com/yourusername/ai-knowledge-saas</t>
  </si>
  <si>
    <t>📋 PROJECT TASK BREAKDOWN — Check off each task as you complete it</t>
  </si>
  <si>
    <t>Task</t>
  </si>
  <si>
    <t>Details</t>
  </si>
  <si>
    <t>Est. Hours</t>
  </si>
  <si>
    <t>Date Done</t>
  </si>
  <si>
    <t>Design architecture</t>
  </si>
  <si>
    <t>Draw full system diagram. Write README first.</t>
  </si>
  <si>
    <t>Document ingestion</t>
  </si>
  <si>
    <t>PDF/DOCX parsing with Docling, cleaning pipeline</t>
  </si>
  <si>
    <t>Chunking strategy</t>
  </si>
  <si>
    <t>Implement fixed + semantic chunking, test chunk sizes</t>
  </si>
  <si>
    <t>Embedding pipeline</t>
  </si>
  <si>
    <t>BGE-large-en-v1.5 via HuggingFace, batch embedding</t>
  </si>
  <si>
    <t>Qdrant vector store</t>
  </si>
  <si>
    <t>Local setup, collection creation, hybrid search</t>
  </si>
  <si>
    <t>Reranking layer</t>
  </si>
  <si>
    <t>Cohere Rerank v3 integration + threshold tuning</t>
  </si>
  <si>
    <t>1h</t>
  </si>
  <si>
    <t>RAGAS evaluation</t>
  </si>
  <si>
    <t>Set up 4 metrics: faithfulness, recall, precision, relevancy</t>
  </si>
  <si>
    <t>FastAPI backend</t>
  </si>
  <si>
    <t>POST /query endpoint, streaming, error handling, auth</t>
  </si>
  <si>
    <t>Streamlit frontend</t>
  </si>
  <si>
    <t>Upload UI, query box, answer display, source citations</t>
  </si>
  <si>
    <t>Docker + GCP deploy</t>
  </si>
  <si>
    <t>Dockerfile, Cloud Run deploy, env vars, domain</t>
  </si>
  <si>
    <t>LangGraph architecture</t>
  </si>
  <si>
    <t>Design StateGraph: 6 nodes, routing logic, checkpointer</t>
  </si>
  <si>
    <t>Orchestrator agent</t>
  </si>
  <si>
    <t>Supervisor node: task decomposition, routing to sub-agents</t>
  </si>
  <si>
    <t>Web search agent</t>
  </si>
  <si>
    <t>Tavily API integration, results formatting, dedup</t>
  </si>
  <si>
    <t>Paper reader agent</t>
  </si>
  <si>
    <t>arXiv API + abstract extraction + citation parsing</t>
  </si>
  <si>
    <t>Fact checker agent</t>
  </si>
  <si>
    <t>Cross-reference claims across sources</t>
  </si>
  <si>
    <t>Synthesis + writer agents</t>
  </si>
  <si>
    <t>Combine findings, generate structured report</t>
  </si>
  <si>
    <t>Human-in-the-loop</t>
  </si>
  <si>
    <t>LangGraph interrupt for critical fact verification</t>
  </si>
  <si>
    <t>FastAPI streaming</t>
  </si>
  <si>
    <t>WebSocket endpoint for real-time agent progress</t>
  </si>
  <si>
    <t>Deploy to GCP</t>
  </si>
  <si>
    <t>Cloud Run + PostgreSQL checkpointer setup</t>
  </si>
  <si>
    <t>Data pipeline</t>
  </si>
  <si>
    <t>Customer CSV → segmentation features via Pandas + BigQuery</t>
  </si>
  <si>
    <t>K-means segmentation</t>
  </si>
  <si>
    <t>RFM feature engineering, cluster analysis, persona naming via LLM</t>
  </si>
  <si>
    <t>CTR prediction model</t>
  </si>
  <si>
    <t>XGBoost model, 0.78 AUC target, SHAP explainability</t>
  </si>
  <si>
    <t>Content generation</t>
  </si>
  <si>
    <t>Vertex AI prompt templates per segment, A/B variants</t>
  </si>
  <si>
    <t>MLflow tracking</t>
  </si>
  <si>
    <t>Log experiments, register model, artifact versioning</t>
  </si>
  <si>
    <t>FastAPI + Celery</t>
  </si>
  <si>
    <t>Async task queue for batch generation, status endpoint</t>
  </si>
  <si>
    <t>Deploy + scheduler</t>
  </si>
  <si>
    <t>Cloud Run deploy + Cloud Scheduler for weekly retraining</t>
  </si>
  <si>
    <t>Feast feature store</t>
  </si>
  <si>
    <t>Define feature views, online + offline store, materialization</t>
  </si>
  <si>
    <t>Training pipeline</t>
  </si>
  <si>
    <t>Vertex AI Pipelines (Kubeflow): data → train → validate → register</t>
  </si>
  <si>
    <t>MLflow registry</t>
  </si>
  <si>
    <t>Model versioning, staging → production promotion workflow</t>
  </si>
  <si>
    <t>BentoML serving</t>
  </si>
  <si>
    <t>Bentofile, Bento build, &lt;50ms P95 latency target</t>
  </si>
  <si>
    <t>Evidently monitoring</t>
  </si>
  <si>
    <t>Data drift (PSI), prediction drift, auto-report generation</t>
  </si>
  <si>
    <t>CI/CD pipeline</t>
  </si>
  <si>
    <t>GitHub Actions: test → validate → deploy on main branch push</t>
  </si>
  <si>
    <t>Terraform infra</t>
  </si>
  <si>
    <t>GCP Cloud Run, Cloud SQL, GCS, IAM as code</t>
  </si>
  <si>
    <t>Multi-tenant architecture</t>
  </si>
  <si>
    <t>Qdrant collection per tenant, isolation design</t>
  </si>
  <si>
    <t>Confluence connector</t>
  </si>
  <si>
    <t>REST API pagination, incremental sync with delta tracking</t>
  </si>
  <si>
    <t>Google Drive connector</t>
  </si>
  <si>
    <t>Drive API, file type handling, change detection</t>
  </si>
  <si>
    <t>Slack connector</t>
  </si>
  <si>
    <t>Slack API, message history, channel filtering</t>
  </si>
  <si>
    <t>JWT + RBAC auth</t>
  </si>
  <si>
    <t>User roles, document-level permissions, middleware</t>
  </si>
  <si>
    <t>Redis caching</t>
  </si>
  <si>
    <t>Query result cache, TTL strategy, invalidation</t>
  </si>
  <si>
    <t>Feedback loop</t>
  </si>
  <si>
    <t>Thumbs up/down on answers, store feedback, RLHF data</t>
  </si>
  <si>
    <t>Usage analytics</t>
  </si>
  <si>
    <t>Query logs, popular topics, user engagement dashboard</t>
  </si>
  <si>
    <t>Full GCP deploy</t>
  </si>
  <si>
    <t>Cloud Run + Cloud SQL + GCS + Redis (Memorystore)</t>
  </si>
  <si>
    <t>📚  TECHNICAL STUDY TRACKER  |  All Topics to Master for International AI/ML Interviews</t>
  </si>
  <si>
    <t>Category</t>
  </si>
  <si>
    <t>Topic</t>
  </si>
  <si>
    <t>Importance</t>
  </si>
  <si>
    <t>Interview Freq</t>
  </si>
  <si>
    <t>Key Resources / Notes</t>
  </si>
  <si>
    <t>Python</t>
  </si>
  <si>
    <t>OOP — classes, inheritance, magic methods, metaclasses</t>
  </si>
  <si>
    <t>⭐⭐⭐⭐⭐</t>
  </si>
  <si>
    <t>Every interview</t>
  </si>
  <si>
    <t>Fluent Python Ch1-11</t>
  </si>
  <si>
    <t>Generators, decorators, context managers, closures</t>
  </si>
  <si>
    <t>Real Python advanced tutorials</t>
  </si>
  <si>
    <t>Async/await, threading vs multiprocessing, GIL</t>
  </si>
  <si>
    <t>⭐⭐⭐⭐</t>
  </si>
  <si>
    <t>Very High</t>
  </si>
  <si>
    <t>David Beazley concurrency talk</t>
  </si>
  <si>
    <t>Type hints, Pydantic, testing (pytest, mocking)</t>
  </si>
  <si>
    <t>High</t>
  </si>
  <si>
    <t>Pydantic docs + pytest docs</t>
  </si>
  <si>
    <t>Memory management, profiling, optimization</t>
  </si>
  <si>
    <t>⭐⭐⭐</t>
  </si>
  <si>
    <t>Medium</t>
  </si>
  <si>
    <t>Python memory profiler docs</t>
  </si>
  <si>
    <t>SQL</t>
  </si>
  <si>
    <t>Window functions: ROW_NUMBER, RANK, LAG, LEAD, NTILE</t>
  </si>
  <si>
    <t>80% of DS roles</t>
  </si>
  <si>
    <t>Mode Analytics SQL Tutorial</t>
  </si>
  <si>
    <t>CTEs, recursive CTEs, complex subqueries</t>
  </si>
  <si>
    <t>LeetCode SQL top 50</t>
  </si>
  <si>
    <t>Query optimization: EXPLAIN, indexes, execution plans</t>
  </si>
  <si>
    <t>Use the Index, Luke (book)</t>
  </si>
  <si>
    <t>Transactions, ACID, isolation levels</t>
  </si>
  <si>
    <t>PostgreSQL docs</t>
  </si>
  <si>
    <t>Statistics</t>
  </si>
  <si>
    <t>Probability distributions, CLT, sampling</t>
  </si>
  <si>
    <t>90% of DS roles</t>
  </si>
  <si>
    <t>StatQuest YouTube channel</t>
  </si>
  <si>
    <t>Hypothesis testing, t-test, chi-square, ANOVA</t>
  </si>
  <si>
    <t>Khan Academy Stats</t>
  </si>
  <si>
    <t>A/B testing: sample size, p-values, multiple testing</t>
  </si>
  <si>
    <t>Every DS role</t>
  </si>
  <si>
    <t>Evan Miller's A/B testing guide</t>
  </si>
  <si>
    <t>Bayesian inference, MCMC, prior/posterior</t>
  </si>
  <si>
    <t>3Blue1Brown Bayes video</t>
  </si>
  <si>
    <t>Causal inference: DiD, RCT, observational studies</t>
  </si>
  <si>
    <t>'The Effect' book (free online)</t>
  </si>
  <si>
    <t>Machine Learning</t>
  </si>
  <si>
    <t>Linear/Logistic Regression from scratch (numpy)</t>
  </si>
  <si>
    <t>Every ML interview</t>
  </si>
  <si>
    <t>Implement yourself — no library</t>
  </si>
  <si>
    <t>Tree methods: XGBoost, LightGBM, Random Forest</t>
  </si>
  <si>
    <t>XGBoost paper + docs</t>
  </si>
  <si>
    <t>SHAP values, model explainability, fairness</t>
  </si>
  <si>
    <t>SHAP library docs + Lundberg paper</t>
  </si>
  <si>
    <t>Class imbalance: SMOTE, threshold tuning, weighted loss</t>
  </si>
  <si>
    <t>imbalanced-learn docs</t>
  </si>
  <si>
    <t>Clustering: K-means, DBSCAN, GMM, hierarchical</t>
  </si>
  <si>
    <t>Scikit-learn user guide</t>
  </si>
  <si>
    <t>Deep Learning</t>
  </si>
  <si>
    <t>Transformer architecture: attention, MHA, layer norm</t>
  </si>
  <si>
    <t>All GenAI roles</t>
  </si>
  <si>
    <t>Karpathy 'Let's build GPT' YouTube</t>
  </si>
  <si>
    <t>Backpropagation from scratch</t>
  </si>
  <si>
    <t>Karpathy 'micrograd' YouTube</t>
  </si>
  <si>
    <t>CNN architectures: ResNet, EfficientNet, ViT</t>
  </si>
  <si>
    <t>Papers with Code</t>
  </si>
  <si>
    <t>PyTorch: custom Dataset, DataLoader, training loop</t>
  </si>
  <si>
    <t>PyTorch official tutorials</t>
  </si>
  <si>
    <t>LLMs</t>
  </si>
  <si>
    <t>Pre-training: GPT (causal LM) vs BERT (masked LM)</t>
  </si>
  <si>
    <t>Every LLM role</t>
  </si>
  <si>
    <t>Karpathy lectures</t>
  </si>
  <si>
    <t>RLHF, DPO, reward modeling, preference datasets</t>
  </si>
  <si>
    <t>Anthropic / DeepMind RLHF papers</t>
  </si>
  <si>
    <t>LoRA, QLoRA, PEFT, adapter methods — math + practice</t>
  </si>
  <si>
    <t>HuggingFace PEFT docs + Raschka book</t>
  </si>
  <si>
    <t>Inference optimization: KV cache, vLLM, quantization</t>
  </si>
  <si>
    <t>vLLM docs + FlashAttention paper</t>
  </si>
  <si>
    <t>Prompt engineering: CoT, ReAct, structured outputs</t>
  </si>
  <si>
    <t>Every GenAI role</t>
  </si>
  <si>
    <t>Anthropic / OpenAI prompt guides</t>
  </si>
  <si>
    <t>RAG Systems</t>
  </si>
  <si>
    <t>Chunking strategies: fixed, semantic, late, parent-doc</t>
  </si>
  <si>
    <t>95% of GenAI roles</t>
  </si>
  <si>
    <t>LangChain RAG docs</t>
  </si>
  <si>
    <t>Embedding models: dense, sparse, hybrid, late interaction</t>
  </si>
  <si>
    <t>MTEB leaderboard + papers</t>
  </si>
  <si>
    <t>Retrieval: similarity search, hybrid search (BM25+dense)</t>
  </si>
  <si>
    <t>Qdrant docs + tutorials</t>
  </si>
  <si>
    <t>Reranking: cross-encoders, Cohere Rerank, BGE Reranker</t>
  </si>
  <si>
    <t>Cohere docs + cross-encoder paper</t>
  </si>
  <si>
    <t>Evaluation: RAGAS — faithfulness, recall, precision</t>
  </si>
  <si>
    <t>RAGAS GitHub + paper</t>
  </si>
  <si>
    <t>Advanced: HyDE, Self-RAG, CRAG, Agentic RAG</t>
  </si>
  <si>
    <t>arxiv papers</t>
  </si>
  <si>
    <t>AI Agents</t>
  </si>
  <si>
    <t>ReAct pattern: reason + act loop architecture</t>
  </si>
  <si>
    <t>70% of new roles</t>
  </si>
  <si>
    <t>ReAct paper (Yao et al.)</t>
  </si>
  <si>
    <t>LangGraph: StateGraph, nodes, edges, conditional routing</t>
  </si>
  <si>
    <t>LangGraph docs + tutorials</t>
  </si>
  <si>
    <t>Multi-agent patterns: supervisor, hierarchical, debate</t>
  </si>
  <si>
    <t>LangGraph multi-agent examples</t>
  </si>
  <si>
    <t>Tool calling: function calling in OpenAI/Gemini/Anthropic</t>
  </si>
  <si>
    <t>Every agent role</t>
  </si>
  <si>
    <t>API docs for each provider</t>
  </si>
  <si>
    <t>Human-in-the-loop: interrupt, approve, resume patterns</t>
  </si>
  <si>
    <t>LangGraph HITL docs</t>
  </si>
  <si>
    <t>Vector Databases</t>
  </si>
  <si>
    <t>HNSW, IVF, PQ algorithms — understand the math</t>
  </si>
  <si>
    <t>80% of RAG roles</t>
  </si>
  <si>
    <t>Qdrant blog on algorithms</t>
  </si>
  <si>
    <t>Qdrant: collections, payloads, filtering, named vectors</t>
  </si>
  <si>
    <t>Qdrant docs</t>
  </si>
  <si>
    <t>Pinecone, Weaviate, pgvector — pros and cons</t>
  </si>
  <si>
    <t>Comparison blog posts</t>
  </si>
  <si>
    <t>MLOps</t>
  </si>
  <si>
    <t>MLflow: experiment tracking, registry, model deployment</t>
  </si>
  <si>
    <t>60% of ML roles</t>
  </si>
  <si>
    <t>MLflow docs</t>
  </si>
  <si>
    <t>Feast feature store: feature views, online/offline store</t>
  </si>
  <si>
    <t>Feast docs + tutorial</t>
  </si>
  <si>
    <t>Model monitoring: Evidently AI, drift detection, alerting</t>
  </si>
  <si>
    <t>Evidently docs</t>
  </si>
  <si>
    <t>CI/CD for ML: GitHub Actions, model testing patterns</t>
  </si>
  <si>
    <t>MLOps community guides</t>
  </si>
  <si>
    <t>Cloud / Infra</t>
  </si>
  <si>
    <t>GCP: Cloud Run, Vertex AI, BigQuery, GCS, IAM</t>
  </si>
  <si>
    <t>Every GCP role</t>
  </si>
  <si>
    <t>GCP learning path</t>
  </si>
  <si>
    <t>Docker: Dockerfile, multi-stage builds, compose</t>
  </si>
  <si>
    <t>Almost every role</t>
  </si>
  <si>
    <t>Docker official tutorial</t>
  </si>
  <si>
    <t>Kubernetes: pods, deployments, services, HPA basics</t>
  </si>
  <si>
    <t>Kubernetes.io tutorial</t>
  </si>
  <si>
    <t>FastAPI: async, dependency injection, middleware, JWT</t>
  </si>
  <si>
    <t>Every backend role</t>
  </si>
  <si>
    <t>FastAPI official tutorial</t>
  </si>
  <si>
    <t>System Design</t>
  </si>
  <si>
    <t>ML System Design framework (7-step answer structure)</t>
  </si>
  <si>
    <t>All senior roles</t>
  </si>
  <si>
    <t>Chip Huyen 'Designing ML Systems'</t>
  </si>
  <si>
    <t>Design recommendation systems (Netflix/YouTube type)</t>
  </si>
  <si>
    <t>Engineering blogs (Netflix, Spotify)</t>
  </si>
  <si>
    <t>Design real-time fraud detection system</t>
  </si>
  <si>
    <t>Practice with 7-step framework</t>
  </si>
  <si>
    <t>Design LLM-powered enterprise search system</t>
  </si>
  <si>
    <t>CAP theorem, consistency models, distributed systems</t>
  </si>
  <si>
    <t>Martin Kleppmann 'DDIA' book</t>
  </si>
  <si>
    <t>Coding (LeetCode)</t>
  </si>
  <si>
    <t>Arrays, Two Pointers, Sliding Window (20 problems)</t>
  </si>
  <si>
    <t>Every coding round</t>
  </si>
  <si>
    <t>LeetCode curated lists</t>
  </si>
  <si>
    <t>Hash Maps, Sets, Counting patterns (15 problems)</t>
  </si>
  <si>
    <t>NeetCode roadmap</t>
  </si>
  <si>
    <t>Binary Search (10 problems)</t>
  </si>
  <si>
    <t>LeetCode binary search tag</t>
  </si>
  <si>
    <t>Trees, Graphs, BFS/DFS (15 problems)</t>
  </si>
  <si>
    <t>Dynamic Programming medium (10 problems)</t>
  </si>
  <si>
    <t>Neetcode DP playlist</t>
  </si>
  <si>
    <t>📈  WEEKLY KPI DASHBOARD  |  Track Your Progress Every Sunday</t>
  </si>
  <si>
    <t>KPI Metric</t>
  </si>
  <si>
    <t>W1
10–16 May</t>
  </si>
  <si>
    <t>W2
17–23 May</t>
  </si>
  <si>
    <t>W3
24–30 May</t>
  </si>
  <si>
    <t>W4
31M–6J</t>
  </si>
  <si>
    <t>W5
7–13 Jun</t>
  </si>
  <si>
    <t>W6
14–20 Jun</t>
  </si>
  <si>
    <t>W7
21–27 Jun</t>
  </si>
  <si>
    <t>W8
28J–4J</t>
  </si>
  <si>
    <t>W9
5–10 Jul</t>
  </si>
  <si>
    <t>Total Target</t>
  </si>
  <si>
    <t>Applications Sent</t>
  </si>
  <si>
    <t>115 total</t>
  </si>
  <si>
    <t>Response Rate %</t>
  </si>
  <si>
    <t>Target: &lt;1%</t>
  </si>
  <si>
    <t>Target: 2–3%</t>
  </si>
  <si>
    <t>Target: 3–5%</t>
  </si>
  <si>
    <t>Target: 5%+</t>
  </si>
  <si>
    <t>Target: 7%+</t>
  </si>
  <si>
    <t>&gt;5% avg</t>
  </si>
  <si>
    <t>Target: 0</t>
  </si>
  <si>
    <t>Target: 0–1</t>
  </si>
  <si>
    <t>Target: 1–2</t>
  </si>
  <si>
    <t>Target: 2–3</t>
  </si>
  <si>
    <t>10–17 total</t>
  </si>
  <si>
    <t>Technical Rounds</t>
  </si>
  <si>
    <t>Target: 2–4</t>
  </si>
  <si>
    <t>Target: 1–3</t>
  </si>
  <si>
    <t>10–21 total</t>
  </si>
  <si>
    <t>Offers</t>
  </si>
  <si>
    <t>Target: 0–2</t>
  </si>
  <si>
    <t>1–3 total</t>
  </si>
  <si>
    <t>Target: 20h</t>
  </si>
  <si>
    <t>Target: 25h</t>
  </si>
  <si>
    <t>Target: 15h</t>
  </si>
  <si>
    <t>Target: 10h</t>
  </si>
  <si>
    <t>185h+ total</t>
  </si>
  <si>
    <t>LeetCode Problems</t>
  </si>
  <si>
    <t>Target: 20</t>
  </si>
  <si>
    <t>Target: 25</t>
  </si>
  <si>
    <t>Target: 30</t>
  </si>
  <si>
    <t>Target: 35</t>
  </si>
  <si>
    <t>Target: 40</t>
  </si>
  <si>
    <t>Target: 45</t>
  </si>
  <si>
    <t>45+ total</t>
  </si>
  <si>
    <t>Target: 1</t>
  </si>
  <si>
    <t>8 posts</t>
  </si>
  <si>
    <t>LinkedIn Connections</t>
  </si>
  <si>
    <t>95+ new</t>
  </si>
  <si>
    <t>GitHub Commits</t>
  </si>
  <si>
    <t>125+ total</t>
  </si>
  <si>
    <t>Projects Deployed</t>
  </si>
  <si>
    <t>Target: 2</t>
  </si>
  <si>
    <t>Target: 3</t>
  </si>
  <si>
    <t>Target: 4</t>
  </si>
  <si>
    <t>5 deployed</t>
  </si>
  <si>
    <t>IIT Alumni Outreach</t>
  </si>
  <si>
    <t>60+ alumni</t>
  </si>
  <si>
    <t>✍️  WEEKLY ACTUAL VALUES — Fill in every Sunday during weekly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</si>
</sst>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F4E79"/>
      <name val="Arial"/>
      <charset val="1"/>
    </font>
    <font>
      <b/>
      <sz val="14"/>
      <color rgb="FF17A589"/>
      <name val="Arial"/>
      <charset val="1"/>
    </font>
    <font>
      <b/>
      <sz val="14"/>
      <color rgb="FFC9532A"/>
      <name val="Arial"/>
      <charset val="1"/>
    </font>
    <font>
      <b/>
      <sz val="9"/>
      <color rgb="FF2E75B6"/>
      <name val="Arial"/>
      <charset val="1"/>
    </font>
    <font>
      <b/>
      <sz val="9"/>
      <color rgb="FF17A589"/>
      <name val="Arial"/>
      <charset val="1"/>
    </font>
    <font>
      <b/>
      <sz val="9"/>
      <color rgb="FFC9532A"/>
      <name val="Arial"/>
      <charset val="1"/>
    </font>
    <font>
      <b/>
      <sz val="14"/>
      <color rgb="FF1E8449"/>
      <name val="Arial"/>
      <charset val="1"/>
    </font>
    <font>
      <b/>
      <sz val="9"/>
      <color rgb="FF1E8449"/>
      <name val="Arial"/>
      <charset val="1"/>
    </font>
    <font>
      <b/>
      <sz val="14"/>
      <color rgb="FFC0392B"/>
      <name val="Arial"/>
      <charset val="1"/>
    </font>
    <font>
      <b/>
      <sz val="9"/>
      <color rgb="FFC0392B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4"/>
      <color rgb="FFFFFFFF"/>
      <name val="Arial"/>
      <charset val="1"/>
    </font>
    <font>
      <b/>
      <sz val="10"/>
      <color rgb="FFC0392B"/>
      <name val="Arial"/>
      <charset val="1"/>
    </font>
    <font>
      <b/>
      <sz val="10"/>
      <color rgb="FFC9532A"/>
      <name val="Arial"/>
      <charset val="1"/>
    </font>
    <font>
      <b/>
      <sz val="10"/>
      <color rgb="FF17A589"/>
      <name val="Arial"/>
      <charset val="1"/>
    </font>
    <font>
      <b/>
      <sz val="13"/>
      <color rgb="FFFFFFFF"/>
      <name val="Arial"/>
      <charset val="1"/>
    </font>
    <font>
      <b/>
      <sz val="10"/>
      <color rgb="FF1A1A1A"/>
      <name val="Arial"/>
      <charset val="1"/>
    </font>
    <font>
      <i/>
      <sz val="9"/>
      <color rgb="FFBDC3C7"/>
      <name val="Arial"/>
      <charset val="1"/>
    </font>
    <font>
      <sz val="11"/>
      <color rgb="FF1A1A1A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17A589"/>
        <bgColor rgb="FF008080"/>
      </patternFill>
    </fill>
    <fill>
      <patternFill patternType="solid">
        <fgColor rgb="FFC9532A"/>
        <bgColor rgb="FFC0392B"/>
      </patternFill>
    </fill>
    <fill>
      <patternFill patternType="solid">
        <fgColor rgb="FFD6E4F0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FAE5D3"/>
        <bgColor rgb="FFFADBD8"/>
      </patternFill>
    </fill>
    <fill>
      <patternFill patternType="solid">
        <fgColor rgb="FFF2F2F2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FFFFF"/>
      </patternFill>
    </fill>
    <fill>
      <patternFill patternType="solid">
        <fgColor rgb="FFE8DAEF"/>
        <bgColor rgb="FFFADBD8"/>
      </patternFill>
    </fill>
    <fill>
      <patternFill patternType="solid">
        <fgColor rgb="FFD5F5E3"/>
        <bgColor rgb="FFD1F2EB"/>
      </patternFill>
    </fill>
    <fill>
      <patternFill patternType="solid">
        <fgColor rgb="FFFADBD8"/>
        <bgColor rgb="FFFAE5D3"/>
      </patternFill>
    </fill>
    <fill>
      <patternFill patternType="solid">
        <fgColor rgb="FF6C3483"/>
        <bgColor rgb="FF993366"/>
      </patternFill>
    </fill>
    <fill>
      <patternFill patternType="solid">
        <fgColor rgb="FF1E8449"/>
        <bgColor rgb="FF00808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15" fillId="10" borderId="1" xfId="0" applyFont="1" applyFill="1" applyBorder="1"/>
    <xf numFmtId="0" fontId="15" fillId="10" borderId="1" xfId="0" applyFont="1" applyFill="1" applyBorder="1" applyAlignment="1">
      <alignment horizontal="center" vertical="center"/>
    </xf>
    <xf numFmtId="0" fontId="15" fillId="9" borderId="1" xfId="0" applyFont="1" applyFill="1" applyBorder="1"/>
    <xf numFmtId="0" fontId="15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2" fillId="1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top" wrapText="1"/>
    </xf>
    <xf numFmtId="0" fontId="23" fillId="10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DC3C7"/>
      <rgbColor rgb="FF808080"/>
      <rgbColor rgb="FF9999FF"/>
      <rgbColor rgb="FF6C3483"/>
      <rgbColor rgb="FFFEF9E7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AE5D3"/>
      <rgbColor rgb="FFF2F2F2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C9532A"/>
      <rgbColor rgb="FF666699"/>
      <rgbColor rgb="FF969696"/>
      <rgbColor rgb="FF003366"/>
      <rgbColor rgb="FF17A589"/>
      <rgbColor rgb="FF003300"/>
      <rgbColor rgb="FF333300"/>
      <rgbColor rgb="FFC0392B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showGridLines="0" topLeftCell="A33" zoomScaleNormal="100" workbookViewId="0">
      <selection activeCell="E33" sqref="E33"/>
    </sheetView>
  </sheetViews>
  <sheetFormatPr defaultColWidth="8.6328125" defaultRowHeight="14.5" x14ac:dyDescent="0.35"/>
  <cols>
    <col min="1" max="1" width="42.90625" bestFit="1" customWidth="1"/>
    <col min="2" max="2" width="13.08984375" bestFit="1" customWidth="1"/>
    <col min="3" max="3" width="14.54296875" bestFit="1" customWidth="1"/>
    <col min="4" max="4" width="8.7265625" bestFit="1" customWidth="1"/>
    <col min="5" max="5" width="12.26953125" bestFit="1" customWidth="1"/>
    <col min="6" max="6" width="11.54296875" bestFit="1" customWidth="1"/>
    <col min="7" max="7" width="9" bestFit="1" customWidth="1"/>
    <col min="8" max="8" width="15.90625" bestFit="1" customWidth="1"/>
    <col min="9" max="9" width="13.6328125" bestFit="1" customWidth="1"/>
    <col min="10" max="10" width="18.1796875" bestFit="1" customWidth="1"/>
    <col min="11" max="11" width="18" customWidth="1"/>
    <col min="12" max="12" width="16" customWidth="1"/>
  </cols>
  <sheetData>
    <row r="1" spans="1:12" ht="39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2" customHeight="1" x14ac:dyDescent="0.35"/>
    <row r="4" spans="1:12" ht="19.5" customHeight="1" x14ac:dyDescent="0.35">
      <c r="A4" s="12" t="s">
        <v>2</v>
      </c>
      <c r="B4" s="12"/>
      <c r="C4" s="12"/>
      <c r="E4" s="11" t="s">
        <v>3</v>
      </c>
      <c r="F4" s="11"/>
      <c r="G4" s="11"/>
      <c r="I4" s="10" t="s">
        <v>4</v>
      </c>
      <c r="J4" s="10"/>
      <c r="K4" s="10"/>
    </row>
    <row r="5" spans="1:12" ht="21.75" customHeight="1" x14ac:dyDescent="0.35">
      <c r="A5" s="9">
        <f>COUNTIF('📋 Applications'!E:E,"&lt;&gt;")-1</f>
        <v>3</v>
      </c>
      <c r="B5" s="9"/>
      <c r="C5" s="9"/>
      <c r="E5" s="8">
        <f>COUNTA('📞 Outreach'!A:A)-1</f>
        <v>3</v>
      </c>
      <c r="F5" s="8"/>
      <c r="G5" s="8"/>
      <c r="I5" s="7">
        <f>COUNTA('🎯 Interviews'!A:A)-1</f>
        <v>1</v>
      </c>
      <c r="J5" s="7"/>
      <c r="K5" s="7"/>
    </row>
    <row r="6" spans="1:12" ht="21.75" customHeight="1" x14ac:dyDescent="0.35">
      <c r="A6" s="6" t="s">
        <v>5</v>
      </c>
      <c r="B6" s="6"/>
      <c r="C6" s="6"/>
      <c r="E6" s="5" t="s">
        <v>6</v>
      </c>
      <c r="F6" s="5"/>
      <c r="G6" s="5"/>
      <c r="I6" s="4" t="s">
        <v>7</v>
      </c>
      <c r="J6" s="4"/>
      <c r="K6" s="4"/>
    </row>
    <row r="7" spans="1:12" ht="21.75" customHeight="1" x14ac:dyDescent="0.35">
      <c r="A7" s="3">
        <f>COUNTIF('📋 Applications'!E:E,"Applied")+COUNTIF('📋 Applications'!E:E,"Screening")+COUNTIF('📋 Applications'!E:E,"Tech Round")+COUNTIF('📋 Applications'!E:E,"Offer")</f>
        <v>3</v>
      </c>
      <c r="B7" s="3"/>
      <c r="C7" s="3"/>
      <c r="E7" s="2">
        <f>COUNTIF('📞 Outreach'!G:G,"Yes")</f>
        <v>2</v>
      </c>
      <c r="F7" s="2"/>
      <c r="G7" s="2"/>
      <c r="I7" s="1">
        <f>COUNTIF('🎯 Interviews'!F:F,"Passed")</f>
        <v>0</v>
      </c>
      <c r="J7" s="1"/>
      <c r="K7" s="1"/>
    </row>
    <row r="8" spans="1:12" ht="21.75" customHeight="1" x14ac:dyDescent="0.35">
      <c r="A8" s="79" t="s">
        <v>8</v>
      </c>
      <c r="B8" s="79"/>
      <c r="C8" s="79"/>
      <c r="E8" s="80" t="s">
        <v>9</v>
      </c>
      <c r="F8" s="80"/>
      <c r="G8" s="80"/>
      <c r="I8" s="81" t="s">
        <v>10</v>
      </c>
      <c r="J8" s="81"/>
      <c r="K8" s="81"/>
    </row>
    <row r="9" spans="1:12" ht="21.75" customHeight="1" x14ac:dyDescent="0.35">
      <c r="A9" s="82">
        <f>COUNTIF('📋 Applications'!E:E,"Offer")</f>
        <v>0</v>
      </c>
      <c r="B9" s="82"/>
      <c r="C9" s="82"/>
      <c r="E9" s="8">
        <f>COUNTIF('📞 Outreach'!H:H,"Call Scheduled")</f>
        <v>0</v>
      </c>
      <c r="F9" s="8"/>
      <c r="G9" s="8"/>
      <c r="I9" s="83">
        <f>COUNTIF('🎯 Interviews'!F:F,"Offer")</f>
        <v>0</v>
      </c>
      <c r="J9" s="83"/>
      <c r="K9" s="83"/>
    </row>
    <row r="10" spans="1:12" ht="21.75" customHeight="1" x14ac:dyDescent="0.35">
      <c r="A10" s="84" t="s">
        <v>11</v>
      </c>
      <c r="B10" s="84"/>
      <c r="C10" s="84"/>
      <c r="E10" s="5" t="s">
        <v>12</v>
      </c>
      <c r="F10" s="5"/>
      <c r="G10" s="5"/>
      <c r="I10" s="85" t="s">
        <v>13</v>
      </c>
      <c r="J10" s="85"/>
      <c r="K10" s="85"/>
    </row>
    <row r="11" spans="1:12" ht="12" customHeight="1" x14ac:dyDescent="0.35"/>
    <row r="12" spans="1:12" ht="21.75" customHeight="1" x14ac:dyDescent="0.35">
      <c r="A12" s="86" t="s">
        <v>14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</row>
    <row r="13" spans="1:12" ht="27.75" customHeight="1" x14ac:dyDescent="0.35">
      <c r="A13" s="15" t="s">
        <v>15</v>
      </c>
      <c r="B13" s="15" t="s">
        <v>16</v>
      </c>
      <c r="C13" s="15" t="s">
        <v>17</v>
      </c>
      <c r="D13" s="15" t="s">
        <v>18</v>
      </c>
      <c r="E13" s="15" t="s">
        <v>19</v>
      </c>
      <c r="F13" s="15" t="s">
        <v>20</v>
      </c>
      <c r="G13" s="15" t="s">
        <v>21</v>
      </c>
      <c r="H13" s="15" t="s">
        <v>22</v>
      </c>
      <c r="I13" s="15" t="s">
        <v>23</v>
      </c>
      <c r="J13" s="15" t="s">
        <v>24</v>
      </c>
    </row>
    <row r="14" spans="1:12" ht="21.75" customHeight="1" x14ac:dyDescent="0.35">
      <c r="A14" s="16" t="s">
        <v>25</v>
      </c>
      <c r="B14" s="16" t="s">
        <v>26</v>
      </c>
      <c r="C14" s="16" t="s">
        <v>27</v>
      </c>
      <c r="D14" s="16" t="s">
        <v>28</v>
      </c>
      <c r="E14" s="16" t="s">
        <v>28</v>
      </c>
      <c r="F14" s="16" t="s">
        <v>29</v>
      </c>
      <c r="G14" s="16" t="s">
        <v>30</v>
      </c>
      <c r="H14" s="16" t="s">
        <v>31</v>
      </c>
      <c r="I14" s="16" t="s">
        <v>32</v>
      </c>
      <c r="J14" s="16" t="s">
        <v>33</v>
      </c>
    </row>
    <row r="15" spans="1:12" ht="21.75" customHeight="1" x14ac:dyDescent="0.35">
      <c r="A15" s="17" t="s">
        <v>34</v>
      </c>
      <c r="B15" s="17" t="s">
        <v>35</v>
      </c>
      <c r="C15" s="17" t="s">
        <v>36</v>
      </c>
      <c r="D15" s="17" t="s">
        <v>37</v>
      </c>
      <c r="E15" s="17" t="s">
        <v>28</v>
      </c>
      <c r="F15" s="17" t="s">
        <v>38</v>
      </c>
      <c r="G15" s="17" t="s">
        <v>39</v>
      </c>
      <c r="H15" s="17" t="s">
        <v>40</v>
      </c>
      <c r="I15" s="17" t="s">
        <v>32</v>
      </c>
      <c r="J15" s="17" t="s">
        <v>41</v>
      </c>
    </row>
    <row r="16" spans="1:12" ht="21.75" customHeight="1" x14ac:dyDescent="0.35">
      <c r="A16" s="16" t="s">
        <v>42</v>
      </c>
      <c r="B16" s="16" t="s">
        <v>43</v>
      </c>
      <c r="C16" s="16" t="s">
        <v>36</v>
      </c>
      <c r="D16" s="16" t="s">
        <v>44</v>
      </c>
      <c r="E16" s="16" t="s">
        <v>37</v>
      </c>
      <c r="F16" s="16" t="s">
        <v>38</v>
      </c>
      <c r="G16" s="16" t="s">
        <v>45</v>
      </c>
      <c r="H16" s="16" t="s">
        <v>46</v>
      </c>
      <c r="I16" s="16" t="s">
        <v>32</v>
      </c>
      <c r="J16" s="16" t="s">
        <v>47</v>
      </c>
    </row>
    <row r="17" spans="1:10" ht="21.75" customHeight="1" x14ac:dyDescent="0.35">
      <c r="A17" s="17" t="s">
        <v>48</v>
      </c>
      <c r="B17" s="17" t="s">
        <v>49</v>
      </c>
      <c r="C17" s="17" t="s">
        <v>36</v>
      </c>
      <c r="D17" s="17" t="s">
        <v>50</v>
      </c>
      <c r="E17" s="17" t="s">
        <v>44</v>
      </c>
      <c r="F17" s="17" t="s">
        <v>38</v>
      </c>
      <c r="G17" s="17" t="s">
        <v>51</v>
      </c>
      <c r="H17" s="17" t="s">
        <v>52</v>
      </c>
      <c r="I17" s="17" t="s">
        <v>32</v>
      </c>
      <c r="J17" s="17" t="s">
        <v>53</v>
      </c>
    </row>
    <row r="18" spans="1:10" ht="21.75" customHeight="1" x14ac:dyDescent="0.35">
      <c r="A18" s="16" t="s">
        <v>54</v>
      </c>
      <c r="B18" s="16" t="s">
        <v>55</v>
      </c>
      <c r="C18" s="16" t="s">
        <v>36</v>
      </c>
      <c r="D18" s="16" t="s">
        <v>50</v>
      </c>
      <c r="E18" s="16" t="s">
        <v>50</v>
      </c>
      <c r="F18" s="16" t="s">
        <v>38</v>
      </c>
      <c r="G18" s="16" t="s">
        <v>56</v>
      </c>
      <c r="H18" s="16" t="s">
        <v>57</v>
      </c>
      <c r="I18" s="16" t="s">
        <v>32</v>
      </c>
      <c r="J18" s="16" t="s">
        <v>58</v>
      </c>
    </row>
    <row r="19" spans="1:10" ht="21.75" customHeight="1" x14ac:dyDescent="0.35">
      <c r="A19" s="17" t="s">
        <v>59</v>
      </c>
      <c r="B19" s="17" t="s">
        <v>60</v>
      </c>
      <c r="C19" s="17" t="s">
        <v>36</v>
      </c>
      <c r="D19" s="17" t="s">
        <v>44</v>
      </c>
      <c r="E19" s="17" t="s">
        <v>61</v>
      </c>
      <c r="F19" s="17" t="s">
        <v>62</v>
      </c>
      <c r="G19" s="17" t="s">
        <v>63</v>
      </c>
      <c r="H19" s="17" t="s">
        <v>64</v>
      </c>
      <c r="I19" s="17" t="s">
        <v>32</v>
      </c>
      <c r="J19" s="17" t="s">
        <v>65</v>
      </c>
    </row>
    <row r="20" spans="1:10" ht="21.75" customHeight="1" x14ac:dyDescent="0.35">
      <c r="A20" s="16" t="s">
        <v>66</v>
      </c>
      <c r="B20" s="16" t="s">
        <v>67</v>
      </c>
      <c r="C20" s="16" t="s">
        <v>36</v>
      </c>
      <c r="D20" s="16" t="s">
        <v>44</v>
      </c>
      <c r="E20" s="16" t="s">
        <v>61</v>
      </c>
      <c r="F20" s="16" t="s">
        <v>62</v>
      </c>
      <c r="G20" s="16" t="s">
        <v>68</v>
      </c>
      <c r="H20" s="16" t="s">
        <v>69</v>
      </c>
      <c r="I20" s="16" t="s">
        <v>32</v>
      </c>
      <c r="J20" s="16" t="s">
        <v>70</v>
      </c>
    </row>
    <row r="21" spans="1:10" ht="21.75" customHeight="1" x14ac:dyDescent="0.35">
      <c r="A21" s="17" t="s">
        <v>71</v>
      </c>
      <c r="B21" s="17" t="s">
        <v>72</v>
      </c>
      <c r="C21" s="17" t="s">
        <v>73</v>
      </c>
      <c r="D21" s="17" t="s">
        <v>44</v>
      </c>
      <c r="E21" s="17" t="s">
        <v>61</v>
      </c>
      <c r="F21" s="17" t="s">
        <v>74</v>
      </c>
      <c r="G21" s="17" t="s">
        <v>75</v>
      </c>
      <c r="H21" s="17" t="s">
        <v>76</v>
      </c>
      <c r="I21" s="17" t="s">
        <v>28</v>
      </c>
      <c r="J21" s="17" t="s">
        <v>77</v>
      </c>
    </row>
    <row r="22" spans="1:10" ht="21.75" customHeight="1" x14ac:dyDescent="0.35">
      <c r="A22" s="16" t="s">
        <v>78</v>
      </c>
      <c r="B22" s="16" t="s">
        <v>79</v>
      </c>
      <c r="C22" s="16" t="s">
        <v>73</v>
      </c>
      <c r="D22" s="16" t="s">
        <v>44</v>
      </c>
      <c r="E22" s="16" t="s">
        <v>80</v>
      </c>
      <c r="F22" s="16" t="s">
        <v>81</v>
      </c>
      <c r="G22" s="16" t="s">
        <v>82</v>
      </c>
      <c r="H22" s="16" t="s">
        <v>83</v>
      </c>
      <c r="I22" s="16" t="s">
        <v>28</v>
      </c>
      <c r="J22" s="16" t="s">
        <v>84</v>
      </c>
    </row>
    <row r="23" spans="1:10" ht="12" customHeight="1" x14ac:dyDescent="0.35"/>
    <row r="24" spans="1:10" ht="21.75" customHeight="1" x14ac:dyDescent="0.35">
      <c r="A24" s="87" t="s">
        <v>85</v>
      </c>
      <c r="B24" s="87"/>
      <c r="C24" s="87"/>
      <c r="D24" s="87"/>
      <c r="E24" s="87"/>
      <c r="F24" s="87"/>
      <c r="G24" s="87"/>
      <c r="H24" s="87"/>
    </row>
    <row r="25" spans="1:10" ht="21.75" customHeight="1" x14ac:dyDescent="0.35">
      <c r="A25" s="18" t="s">
        <v>86</v>
      </c>
      <c r="B25" s="18" t="s">
        <v>87</v>
      </c>
      <c r="C25" s="18" t="s">
        <v>88</v>
      </c>
    </row>
    <row r="26" spans="1:10" ht="19.5" customHeight="1" x14ac:dyDescent="0.35">
      <c r="A26" s="19" t="s">
        <v>89</v>
      </c>
      <c r="B26" s="20" t="s">
        <v>90</v>
      </c>
      <c r="C26" s="19"/>
    </row>
    <row r="27" spans="1:10" ht="19.5" customHeight="1" x14ac:dyDescent="0.35">
      <c r="A27" s="21" t="s">
        <v>91</v>
      </c>
      <c r="B27" s="22" t="s">
        <v>90</v>
      </c>
      <c r="C27" s="21"/>
    </row>
    <row r="28" spans="1:10" ht="19.5" customHeight="1" x14ac:dyDescent="0.35">
      <c r="A28" s="19" t="s">
        <v>92</v>
      </c>
      <c r="B28" s="20" t="s">
        <v>90</v>
      </c>
      <c r="C28" s="19"/>
    </row>
    <row r="29" spans="1:10" ht="19.5" customHeight="1" x14ac:dyDescent="0.35">
      <c r="A29" s="21" t="s">
        <v>93</v>
      </c>
      <c r="B29" s="22" t="s">
        <v>90</v>
      </c>
      <c r="C29" s="21"/>
    </row>
    <row r="30" spans="1:10" ht="19.5" customHeight="1" x14ac:dyDescent="0.35">
      <c r="A30" s="19" t="s">
        <v>94</v>
      </c>
      <c r="B30" s="20" t="s">
        <v>90</v>
      </c>
      <c r="C30" s="19"/>
    </row>
    <row r="31" spans="1:10" ht="19.5" customHeight="1" x14ac:dyDescent="0.35">
      <c r="A31" s="21" t="s">
        <v>95</v>
      </c>
      <c r="B31" s="22" t="s">
        <v>90</v>
      </c>
      <c r="C31" s="21"/>
    </row>
    <row r="32" spans="1:10" ht="19.5" customHeight="1" x14ac:dyDescent="0.35">
      <c r="A32" s="19" t="s">
        <v>96</v>
      </c>
      <c r="B32" s="20" t="s">
        <v>90</v>
      </c>
      <c r="C32" s="19"/>
    </row>
    <row r="33" spans="1:3" ht="19.5" customHeight="1" x14ac:dyDescent="0.35">
      <c r="A33" s="21" t="s">
        <v>97</v>
      </c>
      <c r="B33" s="22" t="s">
        <v>90</v>
      </c>
      <c r="C33" s="21"/>
    </row>
    <row r="34" spans="1:3" ht="19.5" customHeight="1" x14ac:dyDescent="0.35">
      <c r="A34" s="19" t="s">
        <v>98</v>
      </c>
      <c r="B34" s="20" t="s">
        <v>90</v>
      </c>
      <c r="C34" s="19"/>
    </row>
    <row r="35" spans="1:3" ht="19.5" customHeight="1" x14ac:dyDescent="0.35">
      <c r="A35" s="21" t="s">
        <v>99</v>
      </c>
      <c r="B35" s="22" t="s">
        <v>90</v>
      </c>
      <c r="C35" s="21"/>
    </row>
    <row r="36" spans="1:3" ht="19.5" customHeight="1" x14ac:dyDescent="0.35">
      <c r="A36" s="19" t="s">
        <v>100</v>
      </c>
      <c r="B36" s="20" t="s">
        <v>90</v>
      </c>
      <c r="C36" s="19"/>
    </row>
    <row r="37" spans="1:3" ht="19.5" customHeight="1" x14ac:dyDescent="0.35">
      <c r="A37" s="21" t="s">
        <v>101</v>
      </c>
      <c r="B37" s="22" t="s">
        <v>90</v>
      </c>
      <c r="C37" s="21"/>
    </row>
    <row r="38" spans="1:3" ht="19.5" customHeight="1" x14ac:dyDescent="0.35">
      <c r="A38" s="19" t="s">
        <v>102</v>
      </c>
      <c r="B38" s="20" t="s">
        <v>90</v>
      </c>
      <c r="C38" s="19"/>
    </row>
    <row r="39" spans="1:3" ht="19.5" customHeight="1" x14ac:dyDescent="0.35">
      <c r="A39" s="21" t="s">
        <v>103</v>
      </c>
      <c r="B39" s="22" t="s">
        <v>90</v>
      </c>
      <c r="C39" s="21"/>
    </row>
    <row r="40" spans="1:3" ht="19.5" customHeight="1" x14ac:dyDescent="0.35">
      <c r="A40" s="19" t="s">
        <v>104</v>
      </c>
      <c r="B40" s="20" t="s">
        <v>90</v>
      </c>
      <c r="C40" s="19"/>
    </row>
    <row r="41" spans="1:3" ht="19.5" customHeight="1" x14ac:dyDescent="0.35">
      <c r="A41" s="21" t="s">
        <v>105</v>
      </c>
      <c r="B41" s="22" t="s">
        <v>90</v>
      </c>
      <c r="C41" s="21"/>
    </row>
    <row r="42" spans="1:3" ht="19.5" customHeight="1" x14ac:dyDescent="0.35">
      <c r="A42" s="19" t="s">
        <v>106</v>
      </c>
      <c r="B42" s="20" t="s">
        <v>90</v>
      </c>
      <c r="C42" s="19"/>
    </row>
    <row r="43" spans="1:3" ht="19.5" customHeight="1" x14ac:dyDescent="0.35">
      <c r="A43" s="21" t="s">
        <v>107</v>
      </c>
      <c r="B43" s="22" t="s">
        <v>90</v>
      </c>
      <c r="C43" s="21"/>
    </row>
    <row r="44" spans="1:3" ht="19.5" customHeight="1" x14ac:dyDescent="0.35">
      <c r="A44" s="19" t="s">
        <v>108</v>
      </c>
      <c r="B44" s="20" t="s">
        <v>90</v>
      </c>
      <c r="C44" s="19"/>
    </row>
    <row r="45" spans="1:3" ht="19.5" customHeight="1" x14ac:dyDescent="0.35">
      <c r="A45" s="21" t="s">
        <v>109</v>
      </c>
      <c r="B45" s="22" t="s">
        <v>90</v>
      </c>
      <c r="C45" s="21"/>
    </row>
  </sheetData>
  <mergeCells count="25">
    <mergeCell ref="A12:L12"/>
    <mergeCell ref="A24:H24"/>
    <mergeCell ref="A9:C9"/>
    <mergeCell ref="E9:G9"/>
    <mergeCell ref="I9:K9"/>
    <mergeCell ref="A10:C10"/>
    <mergeCell ref="E10:G10"/>
    <mergeCell ref="I10:K10"/>
    <mergeCell ref="A7:C7"/>
    <mergeCell ref="E7:G7"/>
    <mergeCell ref="I7:K7"/>
    <mergeCell ref="A8:C8"/>
    <mergeCell ref="E8:G8"/>
    <mergeCell ref="I8:K8"/>
    <mergeCell ref="A5:C5"/>
    <mergeCell ref="E5:G5"/>
    <mergeCell ref="I5:K5"/>
    <mergeCell ref="A6:C6"/>
    <mergeCell ref="E6:G6"/>
    <mergeCell ref="I6:K6"/>
    <mergeCell ref="A1:L1"/>
    <mergeCell ref="A2:L2"/>
    <mergeCell ref="A4:C4"/>
    <mergeCell ref="E4:G4"/>
    <mergeCell ref="I4:K4"/>
  </mergeCells>
  <dataValidations count="1">
    <dataValidation type="list" sqref="B26:B45" xr:uid="{00000000-0002-0000-0000-000000000000}">
      <formula1>"✅ Done,⏳ In Progress,⬜ 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showGridLines="0" topLeftCell="E11" zoomScaleNormal="100" workbookViewId="0">
      <selection activeCell="J3" sqref="J3"/>
    </sheetView>
  </sheetViews>
  <sheetFormatPr defaultColWidth="8.6328125" defaultRowHeight="14.5" x14ac:dyDescent="0.35"/>
  <cols>
    <col min="1" max="1" width="4.08984375" bestFit="1" customWidth="1"/>
    <col min="2" max="2" width="11.08984375" bestFit="1" customWidth="1"/>
    <col min="3" max="3" width="7" bestFit="1" customWidth="1"/>
    <col min="4" max="4" width="9" bestFit="1" customWidth="1"/>
    <col min="5" max="5" width="41.90625" bestFit="1" customWidth="1"/>
    <col min="6" max="6" width="42" customWidth="1"/>
    <col min="7" max="7" width="37.90625" bestFit="1" customWidth="1"/>
    <col min="8" max="8" width="11.54296875" bestFit="1" customWidth="1"/>
    <col min="9" max="9" width="11.36328125" bestFit="1" customWidth="1"/>
    <col min="10" max="10" width="13.08984375" bestFit="1" customWidth="1"/>
    <col min="11" max="11" width="5.81640625" bestFit="1" customWidth="1"/>
  </cols>
  <sheetData>
    <row r="1" spans="1:12" ht="36" customHeight="1" x14ac:dyDescent="0.35">
      <c r="A1" s="88" t="s">
        <v>110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ht="30" customHeight="1" x14ac:dyDescent="0.35">
      <c r="A2" s="15" t="s">
        <v>111</v>
      </c>
      <c r="B2" s="15" t="s">
        <v>112</v>
      </c>
      <c r="C2" s="15" t="s">
        <v>15</v>
      </c>
      <c r="D2" s="15" t="s">
        <v>113</v>
      </c>
      <c r="E2" s="15" t="s">
        <v>114</v>
      </c>
      <c r="F2" s="15" t="s">
        <v>115</v>
      </c>
      <c r="G2" s="15" t="s">
        <v>116</v>
      </c>
      <c r="H2" s="15" t="s">
        <v>20</v>
      </c>
      <c r="I2" s="15" t="s">
        <v>117</v>
      </c>
      <c r="J2" s="15" t="s">
        <v>87</v>
      </c>
      <c r="K2" s="15" t="s">
        <v>24</v>
      </c>
    </row>
    <row r="3" spans="1:12" ht="42" customHeight="1" x14ac:dyDescent="0.35">
      <c r="A3" s="23">
        <v>1</v>
      </c>
      <c r="B3" s="23" t="s">
        <v>118</v>
      </c>
      <c r="C3" s="23" t="s">
        <v>25</v>
      </c>
      <c r="D3" s="24" t="s">
        <v>119</v>
      </c>
      <c r="E3" s="25" t="s">
        <v>120</v>
      </c>
      <c r="F3" s="25" t="s">
        <v>121</v>
      </c>
      <c r="G3" s="25" t="s">
        <v>122</v>
      </c>
      <c r="H3" s="25" t="s">
        <v>123</v>
      </c>
      <c r="I3" s="25">
        <v>0</v>
      </c>
      <c r="J3" s="25" t="s">
        <v>90</v>
      </c>
      <c r="K3" s="25"/>
    </row>
    <row r="4" spans="1:12" ht="42" customHeight="1" x14ac:dyDescent="0.35">
      <c r="A4" s="23">
        <v>2</v>
      </c>
      <c r="B4" s="23" t="s">
        <v>124</v>
      </c>
      <c r="C4" s="23" t="s">
        <v>25</v>
      </c>
      <c r="D4" s="24" t="s">
        <v>119</v>
      </c>
      <c r="E4" s="25" t="s">
        <v>125</v>
      </c>
      <c r="F4" s="25" t="s">
        <v>126</v>
      </c>
      <c r="G4" s="25" t="s">
        <v>127</v>
      </c>
      <c r="H4" s="25" t="s">
        <v>128</v>
      </c>
      <c r="I4" s="25">
        <v>0</v>
      </c>
      <c r="J4" s="25" t="s">
        <v>90</v>
      </c>
      <c r="K4" s="25"/>
    </row>
    <row r="5" spans="1:12" ht="42" customHeight="1" x14ac:dyDescent="0.35">
      <c r="A5" s="23">
        <v>3</v>
      </c>
      <c r="B5" s="23" t="s">
        <v>129</v>
      </c>
      <c r="C5" s="23" t="s">
        <v>25</v>
      </c>
      <c r="D5" s="26" t="s">
        <v>130</v>
      </c>
      <c r="E5" s="25" t="s">
        <v>131</v>
      </c>
      <c r="F5" s="25" t="s">
        <v>132</v>
      </c>
      <c r="G5" s="25" t="s">
        <v>133</v>
      </c>
      <c r="H5" s="25" t="s">
        <v>134</v>
      </c>
      <c r="I5" s="25">
        <v>0</v>
      </c>
      <c r="J5" s="25" t="s">
        <v>90</v>
      </c>
      <c r="K5" s="25"/>
    </row>
    <row r="6" spans="1:12" ht="42" customHeight="1" x14ac:dyDescent="0.35">
      <c r="A6" s="23">
        <v>4</v>
      </c>
      <c r="B6" s="23" t="s">
        <v>135</v>
      </c>
      <c r="C6" s="23" t="s">
        <v>25</v>
      </c>
      <c r="D6" s="26" t="s">
        <v>130</v>
      </c>
      <c r="E6" s="25" t="s">
        <v>136</v>
      </c>
      <c r="F6" s="25" t="s">
        <v>137</v>
      </c>
      <c r="G6" s="25" t="s">
        <v>138</v>
      </c>
      <c r="H6" s="25" t="s">
        <v>134</v>
      </c>
      <c r="I6" s="25">
        <v>0</v>
      </c>
      <c r="J6" s="25" t="s">
        <v>90</v>
      </c>
      <c r="K6" s="25"/>
    </row>
    <row r="7" spans="1:12" ht="42" customHeight="1" x14ac:dyDescent="0.35">
      <c r="A7" s="23">
        <v>5</v>
      </c>
      <c r="B7" s="23" t="s">
        <v>139</v>
      </c>
      <c r="C7" s="23" t="s">
        <v>25</v>
      </c>
      <c r="D7" s="26" t="s">
        <v>130</v>
      </c>
      <c r="E7" s="25" t="s">
        <v>140</v>
      </c>
      <c r="F7" s="25" t="s">
        <v>141</v>
      </c>
      <c r="G7" s="25" t="s">
        <v>142</v>
      </c>
      <c r="H7" s="25" t="s">
        <v>143</v>
      </c>
      <c r="I7" s="25">
        <v>0</v>
      </c>
      <c r="J7" s="25" t="s">
        <v>90</v>
      </c>
      <c r="K7" s="25"/>
    </row>
    <row r="8" spans="1:12" ht="42" customHeight="1" x14ac:dyDescent="0.35">
      <c r="A8" s="23">
        <v>6</v>
      </c>
      <c r="B8" s="23" t="s">
        <v>144</v>
      </c>
      <c r="C8" s="23" t="s">
        <v>25</v>
      </c>
      <c r="D8" s="26" t="s">
        <v>130</v>
      </c>
      <c r="E8" s="25" t="s">
        <v>145</v>
      </c>
      <c r="F8" s="25" t="s">
        <v>146</v>
      </c>
      <c r="G8" s="25" t="s">
        <v>147</v>
      </c>
      <c r="H8" s="25" t="s">
        <v>143</v>
      </c>
      <c r="I8" s="25">
        <v>0</v>
      </c>
      <c r="J8" s="25" t="s">
        <v>90</v>
      </c>
      <c r="K8" s="25"/>
    </row>
    <row r="9" spans="1:12" ht="42" customHeight="1" x14ac:dyDescent="0.35">
      <c r="A9" s="23">
        <v>7</v>
      </c>
      <c r="B9" s="23" t="s">
        <v>148</v>
      </c>
      <c r="C9" s="23" t="s">
        <v>25</v>
      </c>
      <c r="D9" s="27" t="s">
        <v>149</v>
      </c>
      <c r="E9" s="25" t="s">
        <v>150</v>
      </c>
      <c r="F9" s="25" t="s">
        <v>151</v>
      </c>
      <c r="G9" s="25" t="s">
        <v>152</v>
      </c>
      <c r="H9" s="25" t="s">
        <v>153</v>
      </c>
      <c r="I9" s="25">
        <v>5</v>
      </c>
      <c r="J9" s="25" t="s">
        <v>90</v>
      </c>
      <c r="K9" s="25"/>
    </row>
    <row r="10" spans="1:12" ht="42" customHeight="1" x14ac:dyDescent="0.35">
      <c r="A10" s="28">
        <v>8</v>
      </c>
      <c r="B10" s="28" t="s">
        <v>154</v>
      </c>
      <c r="C10" s="28" t="s">
        <v>34</v>
      </c>
      <c r="D10" s="29" t="s">
        <v>119</v>
      </c>
      <c r="E10" s="30" t="s">
        <v>155</v>
      </c>
      <c r="F10" s="30" t="s">
        <v>156</v>
      </c>
      <c r="G10" s="30" t="s">
        <v>157</v>
      </c>
      <c r="H10" s="30" t="s">
        <v>123</v>
      </c>
      <c r="I10" s="30">
        <v>5</v>
      </c>
      <c r="J10" s="30" t="s">
        <v>90</v>
      </c>
      <c r="K10" s="30"/>
    </row>
    <row r="11" spans="1:12" ht="42" customHeight="1" x14ac:dyDescent="0.35">
      <c r="A11" s="28">
        <v>9</v>
      </c>
      <c r="B11" s="28" t="s">
        <v>158</v>
      </c>
      <c r="C11" s="28" t="s">
        <v>34</v>
      </c>
      <c r="D11" s="29" t="s">
        <v>119</v>
      </c>
      <c r="E11" s="30" t="s">
        <v>159</v>
      </c>
      <c r="F11" s="30" t="s">
        <v>160</v>
      </c>
      <c r="G11" s="30" t="s">
        <v>161</v>
      </c>
      <c r="H11" s="30" t="s">
        <v>123</v>
      </c>
      <c r="I11" s="30">
        <v>5</v>
      </c>
      <c r="J11" s="30" t="s">
        <v>90</v>
      </c>
      <c r="K11" s="30"/>
    </row>
    <row r="12" spans="1:12" ht="42" customHeight="1" x14ac:dyDescent="0.35">
      <c r="A12" s="28">
        <v>10</v>
      </c>
      <c r="B12" s="28" t="s">
        <v>162</v>
      </c>
      <c r="C12" s="28" t="s">
        <v>34</v>
      </c>
      <c r="D12" s="31" t="s">
        <v>130</v>
      </c>
      <c r="E12" s="30" t="s">
        <v>163</v>
      </c>
      <c r="F12" s="30" t="s">
        <v>164</v>
      </c>
      <c r="G12" s="30" t="s">
        <v>165</v>
      </c>
      <c r="H12" s="30" t="s">
        <v>134</v>
      </c>
      <c r="I12" s="30">
        <v>3</v>
      </c>
      <c r="J12" s="30" t="s">
        <v>90</v>
      </c>
      <c r="K12" s="30"/>
    </row>
    <row r="13" spans="1:12" ht="42" customHeight="1" x14ac:dyDescent="0.35">
      <c r="A13" s="28">
        <v>11</v>
      </c>
      <c r="B13" s="28" t="s">
        <v>166</v>
      </c>
      <c r="C13" s="28" t="s">
        <v>34</v>
      </c>
      <c r="D13" s="31" t="s">
        <v>130</v>
      </c>
      <c r="E13" s="30" t="s">
        <v>167</v>
      </c>
      <c r="F13" s="30" t="s">
        <v>168</v>
      </c>
      <c r="G13" s="30" t="s">
        <v>169</v>
      </c>
      <c r="H13" s="30" t="s">
        <v>134</v>
      </c>
      <c r="I13" s="30">
        <v>0</v>
      </c>
      <c r="J13" s="30" t="s">
        <v>90</v>
      </c>
      <c r="K13" s="30"/>
    </row>
    <row r="14" spans="1:12" ht="42" customHeight="1" x14ac:dyDescent="0.35">
      <c r="A14" s="28">
        <v>12</v>
      </c>
      <c r="B14" s="28" t="s">
        <v>170</v>
      </c>
      <c r="C14" s="28" t="s">
        <v>34</v>
      </c>
      <c r="D14" s="31" t="s">
        <v>130</v>
      </c>
      <c r="E14" s="30" t="s">
        <v>171</v>
      </c>
      <c r="F14" s="30" t="s">
        <v>172</v>
      </c>
      <c r="G14" s="30" t="s">
        <v>173</v>
      </c>
      <c r="H14" s="30" t="s">
        <v>134</v>
      </c>
      <c r="I14" s="30">
        <v>0</v>
      </c>
      <c r="J14" s="30" t="s">
        <v>90</v>
      </c>
      <c r="K14" s="30"/>
    </row>
    <row r="15" spans="1:12" ht="42" customHeight="1" x14ac:dyDescent="0.35">
      <c r="A15" s="28">
        <v>13</v>
      </c>
      <c r="B15" s="28" t="s">
        <v>174</v>
      </c>
      <c r="C15" s="28" t="s">
        <v>34</v>
      </c>
      <c r="D15" s="31" t="s">
        <v>130</v>
      </c>
      <c r="E15" s="30" t="s">
        <v>175</v>
      </c>
      <c r="F15" s="30" t="s">
        <v>176</v>
      </c>
      <c r="G15" s="30" t="s">
        <v>177</v>
      </c>
      <c r="H15" s="30" t="s">
        <v>134</v>
      </c>
      <c r="I15" s="30">
        <v>2</v>
      </c>
      <c r="J15" s="30" t="s">
        <v>90</v>
      </c>
      <c r="K15" s="30"/>
    </row>
    <row r="16" spans="1:12" ht="42" customHeight="1" x14ac:dyDescent="0.35">
      <c r="A16" s="28">
        <v>14</v>
      </c>
      <c r="B16" s="28" t="s">
        <v>178</v>
      </c>
      <c r="C16" s="28" t="s">
        <v>34</v>
      </c>
      <c r="D16" s="32" t="s">
        <v>149</v>
      </c>
      <c r="E16" s="30" t="s">
        <v>179</v>
      </c>
      <c r="F16" s="30" t="s">
        <v>180</v>
      </c>
      <c r="G16" s="30" t="s">
        <v>181</v>
      </c>
      <c r="H16" s="30" t="s">
        <v>134</v>
      </c>
      <c r="I16" s="30">
        <v>0</v>
      </c>
      <c r="J16" s="30" t="s">
        <v>90</v>
      </c>
      <c r="K16" s="30"/>
    </row>
    <row r="17" spans="1:11" ht="42" customHeight="1" x14ac:dyDescent="0.35">
      <c r="A17" s="33">
        <v>15</v>
      </c>
      <c r="B17" s="33" t="s">
        <v>182</v>
      </c>
      <c r="C17" s="33" t="s">
        <v>42</v>
      </c>
      <c r="D17" s="34" t="s">
        <v>119</v>
      </c>
      <c r="E17" s="35" t="s">
        <v>183</v>
      </c>
      <c r="F17" s="35" t="s">
        <v>184</v>
      </c>
      <c r="G17" s="35" t="s">
        <v>185</v>
      </c>
      <c r="H17" s="35" t="s">
        <v>153</v>
      </c>
      <c r="I17" s="35">
        <v>5</v>
      </c>
      <c r="J17" s="35" t="s">
        <v>90</v>
      </c>
      <c r="K17" s="35"/>
    </row>
    <row r="18" spans="1:11" ht="42" customHeight="1" x14ac:dyDescent="0.35">
      <c r="A18" s="33">
        <v>16</v>
      </c>
      <c r="B18" s="33" t="s">
        <v>186</v>
      </c>
      <c r="C18" s="33" t="s">
        <v>42</v>
      </c>
      <c r="D18" s="34" t="s">
        <v>119</v>
      </c>
      <c r="E18" s="35" t="s">
        <v>187</v>
      </c>
      <c r="F18" s="35" t="s">
        <v>188</v>
      </c>
      <c r="G18" s="35" t="s">
        <v>189</v>
      </c>
      <c r="H18" s="35" t="s">
        <v>153</v>
      </c>
      <c r="I18" s="35">
        <v>5</v>
      </c>
      <c r="J18" s="35" t="s">
        <v>90</v>
      </c>
      <c r="K18" s="35"/>
    </row>
    <row r="19" spans="1:11" ht="42" customHeight="1" x14ac:dyDescent="0.35">
      <c r="A19" s="33">
        <v>17</v>
      </c>
      <c r="B19" s="33" t="s">
        <v>190</v>
      </c>
      <c r="C19" s="33" t="s">
        <v>42</v>
      </c>
      <c r="D19" s="36" t="s">
        <v>130</v>
      </c>
      <c r="E19" s="35" t="s">
        <v>191</v>
      </c>
      <c r="F19" s="35" t="s">
        <v>192</v>
      </c>
      <c r="G19" s="35" t="s">
        <v>193</v>
      </c>
      <c r="H19" s="35" t="s">
        <v>143</v>
      </c>
      <c r="I19" s="35">
        <v>3</v>
      </c>
      <c r="J19" s="35" t="s">
        <v>90</v>
      </c>
      <c r="K19" s="35"/>
    </row>
    <row r="20" spans="1:11" ht="42" customHeight="1" x14ac:dyDescent="0.35">
      <c r="A20" s="33">
        <v>18</v>
      </c>
      <c r="B20" s="33" t="s">
        <v>194</v>
      </c>
      <c r="C20" s="33" t="s">
        <v>42</v>
      </c>
      <c r="D20" s="36" t="s">
        <v>130</v>
      </c>
      <c r="E20" s="35" t="s">
        <v>195</v>
      </c>
      <c r="F20" s="35" t="s">
        <v>196</v>
      </c>
      <c r="G20" s="35" t="s">
        <v>197</v>
      </c>
      <c r="H20" s="35" t="s">
        <v>143</v>
      </c>
      <c r="I20" s="35">
        <v>0</v>
      </c>
      <c r="J20" s="35" t="s">
        <v>90</v>
      </c>
      <c r="K20" s="35"/>
    </row>
    <row r="21" spans="1:11" ht="42" customHeight="1" x14ac:dyDescent="0.35">
      <c r="A21" s="33">
        <v>19</v>
      </c>
      <c r="B21" s="33" t="s">
        <v>198</v>
      </c>
      <c r="C21" s="33" t="s">
        <v>42</v>
      </c>
      <c r="D21" s="34" t="s">
        <v>119</v>
      </c>
      <c r="E21" s="35" t="s">
        <v>199</v>
      </c>
      <c r="F21" s="35" t="s">
        <v>200</v>
      </c>
      <c r="G21" s="35" t="s">
        <v>201</v>
      </c>
      <c r="H21" s="35" t="s">
        <v>134</v>
      </c>
      <c r="I21" s="35">
        <v>2</v>
      </c>
      <c r="J21" s="35" t="s">
        <v>90</v>
      </c>
      <c r="K21" s="35"/>
    </row>
    <row r="22" spans="1:11" ht="42" customHeight="1" x14ac:dyDescent="0.35">
      <c r="A22" s="33">
        <v>20</v>
      </c>
      <c r="B22" s="33" t="s">
        <v>202</v>
      </c>
      <c r="C22" s="33" t="s">
        <v>42</v>
      </c>
      <c r="D22" s="36" t="s">
        <v>130</v>
      </c>
      <c r="E22" s="35" t="s">
        <v>203</v>
      </c>
      <c r="F22" s="35" t="s">
        <v>204</v>
      </c>
      <c r="G22" s="35" t="s">
        <v>205</v>
      </c>
      <c r="H22" s="35" t="s">
        <v>143</v>
      </c>
      <c r="I22" s="35">
        <v>3</v>
      </c>
      <c r="J22" s="35" t="s">
        <v>90</v>
      </c>
      <c r="K22" s="35"/>
    </row>
    <row r="23" spans="1:11" ht="42" customHeight="1" x14ac:dyDescent="0.35">
      <c r="A23" s="33">
        <v>21</v>
      </c>
      <c r="B23" s="33" t="s">
        <v>206</v>
      </c>
      <c r="C23" s="33" t="s">
        <v>42</v>
      </c>
      <c r="D23" s="37" t="s">
        <v>149</v>
      </c>
      <c r="E23" s="35" t="s">
        <v>207</v>
      </c>
      <c r="F23" s="35" t="s">
        <v>208</v>
      </c>
      <c r="G23" s="35" t="s">
        <v>209</v>
      </c>
      <c r="H23" s="35" t="s">
        <v>128</v>
      </c>
      <c r="I23" s="35">
        <v>0</v>
      </c>
      <c r="J23" s="35" t="s">
        <v>90</v>
      </c>
      <c r="K23" s="35"/>
    </row>
    <row r="24" spans="1:11" ht="42" customHeight="1" x14ac:dyDescent="0.35">
      <c r="A24" s="38">
        <v>22</v>
      </c>
      <c r="B24" s="38" t="s">
        <v>210</v>
      </c>
      <c r="C24" s="38" t="s">
        <v>48</v>
      </c>
      <c r="D24" s="39" t="s">
        <v>119</v>
      </c>
      <c r="E24" s="40" t="s">
        <v>211</v>
      </c>
      <c r="F24" s="40" t="s">
        <v>212</v>
      </c>
      <c r="G24" s="40" t="s">
        <v>213</v>
      </c>
      <c r="H24" s="40" t="s">
        <v>153</v>
      </c>
      <c r="I24" s="40">
        <v>5</v>
      </c>
      <c r="J24" s="40" t="s">
        <v>90</v>
      </c>
      <c r="K24" s="40"/>
    </row>
    <row r="25" spans="1:11" ht="42" customHeight="1" x14ac:dyDescent="0.35">
      <c r="A25" s="38">
        <v>23</v>
      </c>
      <c r="B25" s="38" t="s">
        <v>214</v>
      </c>
      <c r="C25" s="38" t="s">
        <v>48</v>
      </c>
      <c r="D25" s="39" t="s">
        <v>119</v>
      </c>
      <c r="E25" s="40" t="s">
        <v>215</v>
      </c>
      <c r="F25" s="40" t="s">
        <v>216</v>
      </c>
      <c r="G25" s="40" t="s">
        <v>217</v>
      </c>
      <c r="H25" s="40" t="s">
        <v>128</v>
      </c>
      <c r="I25" s="40">
        <v>5</v>
      </c>
      <c r="J25" s="40" t="s">
        <v>90</v>
      </c>
      <c r="K25" s="40"/>
    </row>
    <row r="26" spans="1:11" ht="42" customHeight="1" x14ac:dyDescent="0.35">
      <c r="A26" s="38">
        <v>24</v>
      </c>
      <c r="B26" s="38" t="s">
        <v>218</v>
      </c>
      <c r="C26" s="38" t="s">
        <v>48</v>
      </c>
      <c r="D26" s="41" t="s">
        <v>130</v>
      </c>
      <c r="E26" s="40" t="s">
        <v>219</v>
      </c>
      <c r="F26" s="40" t="s">
        <v>220</v>
      </c>
      <c r="G26" s="40" t="s">
        <v>221</v>
      </c>
      <c r="H26" s="40" t="s">
        <v>143</v>
      </c>
      <c r="I26" s="40">
        <v>3</v>
      </c>
      <c r="J26" s="40" t="s">
        <v>90</v>
      </c>
      <c r="K26" s="40"/>
    </row>
    <row r="27" spans="1:11" ht="42" customHeight="1" x14ac:dyDescent="0.35">
      <c r="A27" s="38">
        <v>25</v>
      </c>
      <c r="B27" s="38" t="s">
        <v>222</v>
      </c>
      <c r="C27" s="38" t="s">
        <v>48</v>
      </c>
      <c r="D27" s="41" t="s">
        <v>130</v>
      </c>
      <c r="E27" s="40" t="s">
        <v>223</v>
      </c>
      <c r="F27" s="40" t="s">
        <v>224</v>
      </c>
      <c r="G27" s="40" t="s">
        <v>225</v>
      </c>
      <c r="H27" s="40" t="s">
        <v>143</v>
      </c>
      <c r="I27" s="40">
        <v>0</v>
      </c>
      <c r="J27" s="40" t="s">
        <v>90</v>
      </c>
      <c r="K27" s="40"/>
    </row>
    <row r="28" spans="1:11" ht="42" customHeight="1" x14ac:dyDescent="0.35">
      <c r="A28" s="38">
        <v>26</v>
      </c>
      <c r="B28" s="38" t="s">
        <v>226</v>
      </c>
      <c r="C28" s="38" t="s">
        <v>48</v>
      </c>
      <c r="D28" s="41" t="s">
        <v>130</v>
      </c>
      <c r="E28" s="40" t="s">
        <v>227</v>
      </c>
      <c r="F28" s="40" t="s">
        <v>228</v>
      </c>
      <c r="G28" s="40" t="s">
        <v>229</v>
      </c>
      <c r="H28" s="40" t="s">
        <v>143</v>
      </c>
      <c r="I28" s="40">
        <v>3</v>
      </c>
      <c r="J28" s="40" t="s">
        <v>90</v>
      </c>
      <c r="K28" s="40"/>
    </row>
    <row r="29" spans="1:11" ht="42" customHeight="1" x14ac:dyDescent="0.35">
      <c r="A29" s="38">
        <v>27</v>
      </c>
      <c r="B29" s="38" t="s">
        <v>230</v>
      </c>
      <c r="C29" s="38" t="s">
        <v>48</v>
      </c>
      <c r="D29" s="41" t="s">
        <v>130</v>
      </c>
      <c r="E29" s="40" t="s">
        <v>231</v>
      </c>
      <c r="F29" s="40" t="s">
        <v>232</v>
      </c>
      <c r="G29" s="40" t="s">
        <v>233</v>
      </c>
      <c r="H29" s="40" t="s">
        <v>143</v>
      </c>
      <c r="I29" s="40">
        <v>2</v>
      </c>
      <c r="J29" s="40" t="s">
        <v>90</v>
      </c>
      <c r="K29" s="40"/>
    </row>
    <row r="30" spans="1:11" ht="42" customHeight="1" x14ac:dyDescent="0.35">
      <c r="A30" s="38">
        <v>28</v>
      </c>
      <c r="B30" s="38" t="s">
        <v>234</v>
      </c>
      <c r="C30" s="38" t="s">
        <v>48</v>
      </c>
      <c r="D30" s="42" t="s">
        <v>149</v>
      </c>
      <c r="E30" s="40" t="s">
        <v>235</v>
      </c>
      <c r="F30" s="40" t="s">
        <v>236</v>
      </c>
      <c r="G30" s="40" t="s">
        <v>237</v>
      </c>
      <c r="H30" s="40" t="s">
        <v>128</v>
      </c>
      <c r="I30" s="40">
        <v>0</v>
      </c>
      <c r="J30" s="40" t="s">
        <v>90</v>
      </c>
      <c r="K30" s="40"/>
    </row>
    <row r="31" spans="1:11" ht="42" customHeight="1" x14ac:dyDescent="0.35">
      <c r="A31" s="43">
        <v>29</v>
      </c>
      <c r="B31" s="43" t="s">
        <v>238</v>
      </c>
      <c r="C31" s="43" t="s">
        <v>54</v>
      </c>
      <c r="D31" s="44" t="s">
        <v>119</v>
      </c>
      <c r="E31" s="45" t="s">
        <v>239</v>
      </c>
      <c r="F31" s="45" t="s">
        <v>240</v>
      </c>
      <c r="G31" s="45" t="s">
        <v>241</v>
      </c>
      <c r="H31" s="45" t="s">
        <v>153</v>
      </c>
      <c r="I31" s="45">
        <v>5</v>
      </c>
      <c r="J31" s="45" t="s">
        <v>90</v>
      </c>
      <c r="K31" s="45"/>
    </row>
    <row r="32" spans="1:11" ht="42" customHeight="1" x14ac:dyDescent="0.35">
      <c r="A32" s="43">
        <v>30</v>
      </c>
      <c r="B32" s="43" t="s">
        <v>242</v>
      </c>
      <c r="C32" s="43" t="s">
        <v>54</v>
      </c>
      <c r="D32" s="44" t="s">
        <v>119</v>
      </c>
      <c r="E32" s="45" t="s">
        <v>243</v>
      </c>
      <c r="F32" s="45" t="s">
        <v>244</v>
      </c>
      <c r="G32" s="45" t="s">
        <v>245</v>
      </c>
      <c r="H32" s="45" t="s">
        <v>128</v>
      </c>
      <c r="I32" s="45">
        <v>5</v>
      </c>
      <c r="J32" s="45" t="s">
        <v>90</v>
      </c>
      <c r="K32" s="45"/>
    </row>
    <row r="33" spans="1:11" ht="42" customHeight="1" x14ac:dyDescent="0.35">
      <c r="A33" s="43">
        <v>31</v>
      </c>
      <c r="B33" s="43" t="s">
        <v>246</v>
      </c>
      <c r="C33" s="43" t="s">
        <v>54</v>
      </c>
      <c r="D33" s="44" t="s">
        <v>119</v>
      </c>
      <c r="E33" s="45" t="s">
        <v>247</v>
      </c>
      <c r="F33" s="45" t="s">
        <v>248</v>
      </c>
      <c r="G33" s="45" t="s">
        <v>249</v>
      </c>
      <c r="H33" s="45" t="s">
        <v>143</v>
      </c>
      <c r="I33" s="45">
        <v>3</v>
      </c>
      <c r="J33" s="45" t="s">
        <v>90</v>
      </c>
      <c r="K33" s="45"/>
    </row>
    <row r="34" spans="1:11" ht="42" customHeight="1" x14ac:dyDescent="0.35">
      <c r="A34" s="43">
        <v>32</v>
      </c>
      <c r="B34" s="43" t="s">
        <v>250</v>
      </c>
      <c r="C34" s="43" t="s">
        <v>54</v>
      </c>
      <c r="D34" s="46" t="s">
        <v>130</v>
      </c>
      <c r="E34" s="45" t="s">
        <v>251</v>
      </c>
      <c r="F34" s="45" t="s">
        <v>252</v>
      </c>
      <c r="G34" s="45" t="s">
        <v>253</v>
      </c>
      <c r="H34" s="45" t="s">
        <v>143</v>
      </c>
      <c r="I34" s="45">
        <v>0</v>
      </c>
      <c r="J34" s="45" t="s">
        <v>90</v>
      </c>
      <c r="K34" s="45"/>
    </row>
    <row r="35" spans="1:11" ht="42" customHeight="1" x14ac:dyDescent="0.35">
      <c r="A35" s="43">
        <v>33</v>
      </c>
      <c r="B35" s="43" t="s">
        <v>254</v>
      </c>
      <c r="C35" s="43" t="s">
        <v>54</v>
      </c>
      <c r="D35" s="46" t="s">
        <v>130</v>
      </c>
      <c r="E35" s="45" t="s">
        <v>255</v>
      </c>
      <c r="F35" s="45" t="s">
        <v>256</v>
      </c>
      <c r="G35" s="45" t="s">
        <v>257</v>
      </c>
      <c r="H35" s="45" t="s">
        <v>143</v>
      </c>
      <c r="I35" s="45">
        <v>3</v>
      </c>
      <c r="J35" s="45" t="s">
        <v>90</v>
      </c>
      <c r="K35" s="45"/>
    </row>
    <row r="36" spans="1:11" ht="42" customHeight="1" x14ac:dyDescent="0.35">
      <c r="A36" s="43">
        <v>34</v>
      </c>
      <c r="B36" s="43" t="s">
        <v>258</v>
      </c>
      <c r="C36" s="43" t="s">
        <v>54</v>
      </c>
      <c r="D36" s="46" t="s">
        <v>130</v>
      </c>
      <c r="E36" s="45" t="s">
        <v>259</v>
      </c>
      <c r="F36" s="45" t="s">
        <v>260</v>
      </c>
      <c r="G36" s="45" t="s">
        <v>261</v>
      </c>
      <c r="H36" s="45" t="s">
        <v>143</v>
      </c>
      <c r="I36" s="45">
        <v>2</v>
      </c>
      <c r="J36" s="45" t="s">
        <v>90</v>
      </c>
      <c r="K36" s="45"/>
    </row>
    <row r="37" spans="1:11" ht="42" customHeight="1" x14ac:dyDescent="0.35">
      <c r="A37" s="43">
        <v>35</v>
      </c>
      <c r="B37" s="43" t="s">
        <v>262</v>
      </c>
      <c r="C37" s="43" t="s">
        <v>54</v>
      </c>
      <c r="D37" s="47" t="s">
        <v>149</v>
      </c>
      <c r="E37" s="45" t="s">
        <v>263</v>
      </c>
      <c r="F37" s="45" t="s">
        <v>264</v>
      </c>
      <c r="G37" s="45" t="s">
        <v>265</v>
      </c>
      <c r="H37" s="45" t="s">
        <v>128</v>
      </c>
      <c r="I37" s="45">
        <v>0</v>
      </c>
      <c r="J37" s="45" t="s">
        <v>90</v>
      </c>
      <c r="K37" s="45"/>
    </row>
    <row r="38" spans="1:11" ht="42" customHeight="1" x14ac:dyDescent="0.35">
      <c r="A38" s="48">
        <v>36</v>
      </c>
      <c r="B38" s="48" t="s">
        <v>266</v>
      </c>
      <c r="C38" s="48" t="s">
        <v>59</v>
      </c>
      <c r="D38" s="49" t="s">
        <v>119</v>
      </c>
      <c r="E38" s="50" t="s">
        <v>267</v>
      </c>
      <c r="F38" s="50" t="s">
        <v>268</v>
      </c>
      <c r="G38" s="50" t="s">
        <v>269</v>
      </c>
      <c r="H38" s="50" t="s">
        <v>153</v>
      </c>
      <c r="I38" s="50">
        <v>5</v>
      </c>
      <c r="J38" s="50" t="s">
        <v>90</v>
      </c>
      <c r="K38" s="50"/>
    </row>
    <row r="39" spans="1:11" ht="42" customHeight="1" x14ac:dyDescent="0.35">
      <c r="A39" s="48">
        <v>37</v>
      </c>
      <c r="B39" s="48" t="s">
        <v>270</v>
      </c>
      <c r="C39" s="48" t="s">
        <v>59</v>
      </c>
      <c r="D39" s="49" t="s">
        <v>119</v>
      </c>
      <c r="E39" s="50" t="s">
        <v>271</v>
      </c>
      <c r="F39" s="50" t="s">
        <v>272</v>
      </c>
      <c r="G39" s="50" t="s">
        <v>273</v>
      </c>
      <c r="H39" s="50" t="s">
        <v>128</v>
      </c>
      <c r="I39" s="50">
        <v>5</v>
      </c>
      <c r="J39" s="50" t="s">
        <v>90</v>
      </c>
      <c r="K39" s="50"/>
    </row>
    <row r="40" spans="1:11" ht="42" customHeight="1" x14ac:dyDescent="0.35">
      <c r="A40" s="48">
        <v>38</v>
      </c>
      <c r="B40" s="48" t="s">
        <v>274</v>
      </c>
      <c r="C40" s="48" t="s">
        <v>59</v>
      </c>
      <c r="D40" s="51" t="s">
        <v>130</v>
      </c>
      <c r="E40" s="50" t="s">
        <v>275</v>
      </c>
      <c r="F40" s="50" t="s">
        <v>276</v>
      </c>
      <c r="G40" s="50" t="s">
        <v>249</v>
      </c>
      <c r="H40" s="50" t="s">
        <v>143</v>
      </c>
      <c r="I40" s="50">
        <v>3</v>
      </c>
      <c r="J40" s="50" t="s">
        <v>90</v>
      </c>
      <c r="K40" s="50"/>
    </row>
    <row r="41" spans="1:11" ht="42" customHeight="1" x14ac:dyDescent="0.35">
      <c r="A41" s="48">
        <v>39</v>
      </c>
      <c r="B41" s="48" t="s">
        <v>277</v>
      </c>
      <c r="C41" s="48" t="s">
        <v>59</v>
      </c>
      <c r="D41" s="51" t="s">
        <v>130</v>
      </c>
      <c r="E41" s="50" t="s">
        <v>278</v>
      </c>
      <c r="F41" s="50" t="s">
        <v>279</v>
      </c>
      <c r="G41" s="50" t="s">
        <v>280</v>
      </c>
      <c r="H41" s="50" t="s">
        <v>143</v>
      </c>
      <c r="I41" s="50">
        <v>0</v>
      </c>
      <c r="J41" s="50" t="s">
        <v>90</v>
      </c>
      <c r="K41" s="50"/>
    </row>
    <row r="42" spans="1:11" ht="42" customHeight="1" x14ac:dyDescent="0.35">
      <c r="A42" s="48">
        <v>40</v>
      </c>
      <c r="B42" s="48" t="s">
        <v>281</v>
      </c>
      <c r="C42" s="48" t="s">
        <v>59</v>
      </c>
      <c r="D42" s="51" t="s">
        <v>130</v>
      </c>
      <c r="E42" s="50" t="s">
        <v>282</v>
      </c>
      <c r="F42" s="50" t="s">
        <v>283</v>
      </c>
      <c r="G42" s="50" t="s">
        <v>284</v>
      </c>
      <c r="H42" s="50" t="s">
        <v>128</v>
      </c>
      <c r="I42" s="50">
        <v>3</v>
      </c>
      <c r="J42" s="50" t="s">
        <v>90</v>
      </c>
      <c r="K42" s="50"/>
    </row>
    <row r="43" spans="1:11" ht="42" customHeight="1" x14ac:dyDescent="0.35">
      <c r="A43" s="48">
        <v>41</v>
      </c>
      <c r="B43" s="48" t="s">
        <v>285</v>
      </c>
      <c r="C43" s="48" t="s">
        <v>59</v>
      </c>
      <c r="D43" s="51" t="s">
        <v>130</v>
      </c>
      <c r="E43" s="50" t="s">
        <v>286</v>
      </c>
      <c r="F43" s="50" t="s">
        <v>287</v>
      </c>
      <c r="G43" s="50" t="s">
        <v>249</v>
      </c>
      <c r="H43" s="50" t="s">
        <v>143</v>
      </c>
      <c r="I43" s="50">
        <v>2</v>
      </c>
      <c r="J43" s="50" t="s">
        <v>90</v>
      </c>
      <c r="K43" s="50"/>
    </row>
    <row r="44" spans="1:11" ht="42" customHeight="1" x14ac:dyDescent="0.35">
      <c r="A44" s="48">
        <v>42</v>
      </c>
      <c r="B44" s="48" t="s">
        <v>288</v>
      </c>
      <c r="C44" s="48" t="s">
        <v>59</v>
      </c>
      <c r="D44" s="52" t="s">
        <v>149</v>
      </c>
      <c r="E44" s="50" t="s">
        <v>289</v>
      </c>
      <c r="F44" s="50" t="s">
        <v>290</v>
      </c>
      <c r="G44" s="50" t="s">
        <v>291</v>
      </c>
      <c r="H44" s="50" t="s">
        <v>292</v>
      </c>
      <c r="I44" s="50">
        <v>0</v>
      </c>
      <c r="J44" s="50" t="s">
        <v>90</v>
      </c>
      <c r="K44" s="50"/>
    </row>
    <row r="45" spans="1:11" ht="42" customHeight="1" x14ac:dyDescent="0.35">
      <c r="A45" s="53">
        <v>43</v>
      </c>
      <c r="B45" s="53" t="s">
        <v>293</v>
      </c>
      <c r="C45" s="53" t="s">
        <v>66</v>
      </c>
      <c r="D45" s="54" t="s">
        <v>119</v>
      </c>
      <c r="E45" s="55" t="s">
        <v>294</v>
      </c>
      <c r="F45" s="55" t="s">
        <v>295</v>
      </c>
      <c r="G45" s="55" t="s">
        <v>296</v>
      </c>
      <c r="H45" s="55" t="s">
        <v>153</v>
      </c>
      <c r="I45" s="55">
        <v>5</v>
      </c>
      <c r="J45" s="55" t="s">
        <v>90</v>
      </c>
      <c r="K45" s="55"/>
    </row>
    <row r="46" spans="1:11" ht="42" customHeight="1" x14ac:dyDescent="0.35">
      <c r="A46" s="53">
        <v>44</v>
      </c>
      <c r="B46" s="53" t="s">
        <v>297</v>
      </c>
      <c r="C46" s="53" t="s">
        <v>66</v>
      </c>
      <c r="D46" s="54" t="s">
        <v>119</v>
      </c>
      <c r="E46" s="55" t="s">
        <v>298</v>
      </c>
      <c r="F46" s="55" t="s">
        <v>299</v>
      </c>
      <c r="G46" s="55" t="s">
        <v>273</v>
      </c>
      <c r="H46" s="55" t="s">
        <v>128</v>
      </c>
      <c r="I46" s="55">
        <v>5</v>
      </c>
      <c r="J46" s="55" t="s">
        <v>90</v>
      </c>
      <c r="K46" s="55"/>
    </row>
    <row r="47" spans="1:11" ht="42" customHeight="1" x14ac:dyDescent="0.35">
      <c r="A47" s="53">
        <v>45</v>
      </c>
      <c r="B47" s="53" t="s">
        <v>300</v>
      </c>
      <c r="C47" s="53" t="s">
        <v>66</v>
      </c>
      <c r="D47" s="54" t="s">
        <v>119</v>
      </c>
      <c r="E47" s="55" t="s">
        <v>301</v>
      </c>
      <c r="F47" s="55" t="s">
        <v>302</v>
      </c>
      <c r="G47" s="55" t="s">
        <v>249</v>
      </c>
      <c r="H47" s="55" t="s">
        <v>143</v>
      </c>
      <c r="I47" s="55">
        <v>3</v>
      </c>
      <c r="J47" s="55" t="s">
        <v>90</v>
      </c>
      <c r="K47" s="55"/>
    </row>
    <row r="48" spans="1:11" ht="42" customHeight="1" x14ac:dyDescent="0.35">
      <c r="A48" s="53">
        <v>46</v>
      </c>
      <c r="B48" s="53" t="s">
        <v>303</v>
      </c>
      <c r="C48" s="53" t="s">
        <v>66</v>
      </c>
      <c r="D48" s="56" t="s">
        <v>130</v>
      </c>
      <c r="E48" s="55" t="s">
        <v>304</v>
      </c>
      <c r="F48" s="55" t="s">
        <v>305</v>
      </c>
      <c r="G48" s="55" t="s">
        <v>306</v>
      </c>
      <c r="H48" s="55" t="s">
        <v>143</v>
      </c>
      <c r="I48" s="55">
        <v>3</v>
      </c>
      <c r="J48" s="55" t="s">
        <v>90</v>
      </c>
      <c r="K48" s="55"/>
    </row>
    <row r="49" spans="1:11" ht="42" customHeight="1" x14ac:dyDescent="0.35">
      <c r="A49" s="53">
        <v>47</v>
      </c>
      <c r="B49" s="53" t="s">
        <v>307</v>
      </c>
      <c r="C49" s="53" t="s">
        <v>66</v>
      </c>
      <c r="D49" s="56" t="s">
        <v>130</v>
      </c>
      <c r="E49" s="55" t="s">
        <v>308</v>
      </c>
      <c r="F49" s="55" t="s">
        <v>309</v>
      </c>
      <c r="G49" s="55" t="s">
        <v>310</v>
      </c>
      <c r="H49" s="55" t="s">
        <v>143</v>
      </c>
      <c r="I49" s="55">
        <v>2</v>
      </c>
      <c r="J49" s="55" t="s">
        <v>90</v>
      </c>
      <c r="K49" s="55"/>
    </row>
    <row r="50" spans="1:11" ht="42" customHeight="1" x14ac:dyDescent="0.35">
      <c r="A50" s="53">
        <v>48</v>
      </c>
      <c r="B50" s="53" t="s">
        <v>311</v>
      </c>
      <c r="C50" s="53" t="s">
        <v>66</v>
      </c>
      <c r="D50" s="56" t="s">
        <v>130</v>
      </c>
      <c r="E50" s="55" t="s">
        <v>312</v>
      </c>
      <c r="F50" s="55" t="s">
        <v>313</v>
      </c>
      <c r="G50" s="55" t="s">
        <v>249</v>
      </c>
      <c r="H50" s="55" t="s">
        <v>143</v>
      </c>
      <c r="I50" s="55">
        <v>2</v>
      </c>
      <c r="J50" s="55" t="s">
        <v>90</v>
      </c>
      <c r="K50" s="55"/>
    </row>
    <row r="51" spans="1:11" ht="42" customHeight="1" x14ac:dyDescent="0.35">
      <c r="A51" s="53">
        <v>49</v>
      </c>
      <c r="B51" s="53" t="s">
        <v>314</v>
      </c>
      <c r="C51" s="53" t="s">
        <v>66</v>
      </c>
      <c r="D51" s="57" t="s">
        <v>149</v>
      </c>
      <c r="E51" s="55" t="s">
        <v>315</v>
      </c>
      <c r="F51" s="55" t="s">
        <v>316</v>
      </c>
      <c r="G51" s="55" t="s">
        <v>317</v>
      </c>
      <c r="H51" s="55" t="s">
        <v>292</v>
      </c>
      <c r="I51" s="55">
        <v>0</v>
      </c>
      <c r="J51" s="55" t="s">
        <v>90</v>
      </c>
      <c r="K51" s="55"/>
    </row>
    <row r="52" spans="1:11" ht="42" customHeight="1" x14ac:dyDescent="0.35">
      <c r="A52" s="16">
        <v>50</v>
      </c>
      <c r="B52" s="16" t="s">
        <v>318</v>
      </c>
      <c r="C52" s="16" t="s">
        <v>71</v>
      </c>
      <c r="D52" s="58" t="s">
        <v>119</v>
      </c>
      <c r="E52" s="59" t="s">
        <v>319</v>
      </c>
      <c r="F52" s="59" t="s">
        <v>320</v>
      </c>
      <c r="G52" s="59" t="s">
        <v>321</v>
      </c>
      <c r="H52" s="59" t="s">
        <v>134</v>
      </c>
      <c r="I52" s="59">
        <v>5</v>
      </c>
      <c r="J52" s="59" t="s">
        <v>90</v>
      </c>
      <c r="K52" s="59"/>
    </row>
    <row r="53" spans="1:11" ht="42" customHeight="1" x14ac:dyDescent="0.35">
      <c r="A53" s="16">
        <v>51</v>
      </c>
      <c r="B53" s="16" t="s">
        <v>322</v>
      </c>
      <c r="C53" s="16" t="s">
        <v>71</v>
      </c>
      <c r="D53" s="58" t="s">
        <v>119</v>
      </c>
      <c r="E53" s="59" t="s">
        <v>323</v>
      </c>
      <c r="F53" s="59" t="s">
        <v>324</v>
      </c>
      <c r="G53" s="59" t="s">
        <v>325</v>
      </c>
      <c r="H53" s="59" t="s">
        <v>134</v>
      </c>
      <c r="I53" s="59">
        <v>5</v>
      </c>
      <c r="J53" s="59" t="s">
        <v>90</v>
      </c>
      <c r="K53" s="59"/>
    </row>
    <row r="54" spans="1:11" ht="42" customHeight="1" x14ac:dyDescent="0.35">
      <c r="A54" s="16">
        <v>52</v>
      </c>
      <c r="B54" s="16" t="s">
        <v>326</v>
      </c>
      <c r="C54" s="16" t="s">
        <v>71</v>
      </c>
      <c r="D54" s="60" t="s">
        <v>130</v>
      </c>
      <c r="E54" s="59" t="s">
        <v>327</v>
      </c>
      <c r="F54" s="59" t="s">
        <v>328</v>
      </c>
      <c r="G54" s="59" t="s">
        <v>249</v>
      </c>
      <c r="H54" s="59" t="s">
        <v>143</v>
      </c>
      <c r="I54" s="59">
        <v>3</v>
      </c>
      <c r="J54" s="59" t="s">
        <v>90</v>
      </c>
      <c r="K54" s="59"/>
    </row>
    <row r="55" spans="1:11" ht="42" customHeight="1" x14ac:dyDescent="0.35">
      <c r="A55" s="16">
        <v>53</v>
      </c>
      <c r="B55" s="16" t="s">
        <v>329</v>
      </c>
      <c r="C55" s="16" t="s">
        <v>71</v>
      </c>
      <c r="D55" s="60" t="s">
        <v>130</v>
      </c>
      <c r="E55" s="59" t="s">
        <v>330</v>
      </c>
      <c r="F55" s="59" t="s">
        <v>331</v>
      </c>
      <c r="G55" s="59" t="s">
        <v>332</v>
      </c>
      <c r="H55" s="59" t="s">
        <v>143</v>
      </c>
      <c r="I55" s="59">
        <v>3</v>
      </c>
      <c r="J55" s="59" t="s">
        <v>90</v>
      </c>
      <c r="K55" s="59"/>
    </row>
    <row r="56" spans="1:11" ht="42" customHeight="1" x14ac:dyDescent="0.35">
      <c r="A56" s="16">
        <v>54</v>
      </c>
      <c r="B56" s="16" t="s">
        <v>333</v>
      </c>
      <c r="C56" s="16" t="s">
        <v>71</v>
      </c>
      <c r="D56" s="60" t="s">
        <v>130</v>
      </c>
      <c r="E56" s="59" t="s">
        <v>334</v>
      </c>
      <c r="F56" s="59" t="s">
        <v>335</v>
      </c>
      <c r="G56" s="59" t="s">
        <v>336</v>
      </c>
      <c r="H56" s="59" t="s">
        <v>143</v>
      </c>
      <c r="I56" s="59">
        <v>2</v>
      </c>
      <c r="J56" s="59" t="s">
        <v>90</v>
      </c>
      <c r="K56" s="59"/>
    </row>
    <row r="57" spans="1:11" ht="42" customHeight="1" x14ac:dyDescent="0.35">
      <c r="A57" s="16">
        <v>55</v>
      </c>
      <c r="B57" s="16" t="s">
        <v>337</v>
      </c>
      <c r="C57" s="16" t="s">
        <v>71</v>
      </c>
      <c r="D57" s="60" t="s">
        <v>130</v>
      </c>
      <c r="E57" s="59" t="s">
        <v>338</v>
      </c>
      <c r="F57" s="59" t="s">
        <v>339</v>
      </c>
      <c r="G57" s="59" t="s">
        <v>249</v>
      </c>
      <c r="H57" s="59" t="s">
        <v>143</v>
      </c>
      <c r="I57" s="59">
        <v>2</v>
      </c>
      <c r="J57" s="59" t="s">
        <v>90</v>
      </c>
      <c r="K57" s="59"/>
    </row>
    <row r="58" spans="1:11" ht="42" customHeight="1" x14ac:dyDescent="0.35">
      <c r="A58" s="16">
        <v>56</v>
      </c>
      <c r="B58" s="16" t="s">
        <v>340</v>
      </c>
      <c r="C58" s="16" t="s">
        <v>71</v>
      </c>
      <c r="D58" s="61" t="s">
        <v>149</v>
      </c>
      <c r="E58" s="59" t="s">
        <v>341</v>
      </c>
      <c r="F58" s="59" t="s">
        <v>342</v>
      </c>
      <c r="G58" s="59" t="s">
        <v>343</v>
      </c>
      <c r="H58" s="59" t="s">
        <v>344</v>
      </c>
      <c r="I58" s="59">
        <v>0</v>
      </c>
      <c r="J58" s="59" t="s">
        <v>90</v>
      </c>
      <c r="K58" s="59"/>
    </row>
    <row r="59" spans="1:11" ht="42" customHeight="1" x14ac:dyDescent="0.35">
      <c r="A59" s="23">
        <v>57</v>
      </c>
      <c r="B59" s="23" t="s">
        <v>345</v>
      </c>
      <c r="C59" s="23" t="s">
        <v>78</v>
      </c>
      <c r="D59" s="24" t="s">
        <v>119</v>
      </c>
      <c r="E59" s="25" t="s">
        <v>346</v>
      </c>
      <c r="F59" s="25" t="s">
        <v>347</v>
      </c>
      <c r="G59" s="25" t="s">
        <v>348</v>
      </c>
      <c r="H59" s="25" t="s">
        <v>134</v>
      </c>
      <c r="I59" s="25">
        <v>5</v>
      </c>
      <c r="J59" s="25" t="s">
        <v>90</v>
      </c>
      <c r="K59" s="25"/>
    </row>
    <row r="60" spans="1:11" ht="42" customHeight="1" x14ac:dyDescent="0.35">
      <c r="A60" s="23">
        <v>58</v>
      </c>
      <c r="B60" s="23" t="s">
        <v>349</v>
      </c>
      <c r="C60" s="23" t="s">
        <v>78</v>
      </c>
      <c r="D60" s="24" t="s">
        <v>119</v>
      </c>
      <c r="E60" s="25" t="s">
        <v>350</v>
      </c>
      <c r="F60" s="25" t="s">
        <v>351</v>
      </c>
      <c r="G60" s="25" t="s">
        <v>273</v>
      </c>
      <c r="H60" s="25" t="s">
        <v>134</v>
      </c>
      <c r="I60" s="25">
        <v>5</v>
      </c>
      <c r="J60" s="25" t="s">
        <v>90</v>
      </c>
      <c r="K60" s="25"/>
    </row>
    <row r="61" spans="1:11" ht="42" customHeight="1" x14ac:dyDescent="0.35">
      <c r="A61" s="23">
        <v>59</v>
      </c>
      <c r="B61" s="23" t="s">
        <v>352</v>
      </c>
      <c r="C61" s="23" t="s">
        <v>78</v>
      </c>
      <c r="D61" s="26" t="s">
        <v>130</v>
      </c>
      <c r="E61" s="25" t="s">
        <v>353</v>
      </c>
      <c r="F61" s="25" t="s">
        <v>354</v>
      </c>
      <c r="G61" s="25" t="s">
        <v>249</v>
      </c>
      <c r="H61" s="25" t="s">
        <v>143</v>
      </c>
      <c r="I61" s="25">
        <v>3</v>
      </c>
      <c r="J61" s="25" t="s">
        <v>90</v>
      </c>
      <c r="K61" s="25"/>
    </row>
    <row r="62" spans="1:11" ht="42" customHeight="1" x14ac:dyDescent="0.35">
      <c r="A62" s="23">
        <v>60</v>
      </c>
      <c r="B62" s="23" t="s">
        <v>355</v>
      </c>
      <c r="C62" s="23" t="s">
        <v>78</v>
      </c>
      <c r="D62" s="24" t="s">
        <v>119</v>
      </c>
      <c r="E62" s="25" t="s">
        <v>356</v>
      </c>
      <c r="F62" s="25" t="s">
        <v>357</v>
      </c>
      <c r="G62" s="25" t="s">
        <v>358</v>
      </c>
      <c r="H62" s="25" t="s">
        <v>359</v>
      </c>
      <c r="I62" s="25">
        <v>0</v>
      </c>
      <c r="J62" s="25" t="s">
        <v>90</v>
      </c>
      <c r="K62" s="25"/>
    </row>
  </sheetData>
  <mergeCells count="1">
    <mergeCell ref="A1:L1"/>
  </mergeCells>
  <dataValidations count="1">
    <dataValidation type="list" sqref="J3:J62" xr:uid="{00000000-0002-0000-0100-000000000000}">
      <formula1>"✅ Done,⏳ In Progress,⬜ Not Started,⏭ 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"/>
  <sheetViews>
    <sheetView showGridLines="0" zoomScaleNormal="100" workbookViewId="0">
      <selection activeCell="M10" sqref="M10"/>
    </sheetView>
  </sheetViews>
  <sheetFormatPr defaultColWidth="8.6328125" defaultRowHeight="14.5" x14ac:dyDescent="0.35"/>
  <cols>
    <col min="1" max="1" width="1.81640625" bestFit="1" customWidth="1"/>
    <col min="2" max="2" width="11.6328125" bestFit="1" customWidth="1"/>
    <col min="3" max="3" width="19.1796875" bestFit="1" customWidth="1"/>
    <col min="4" max="4" width="21.6328125" bestFit="1" customWidth="1"/>
    <col min="5" max="5" width="6.7265625" bestFit="1" customWidth="1"/>
    <col min="6" max="6" width="10" bestFit="1" customWidth="1"/>
    <col min="7" max="7" width="10.26953125" bestFit="1" customWidth="1"/>
    <col min="8" max="8" width="14" customWidth="1"/>
    <col min="9" max="9" width="8.36328125" bestFit="1" customWidth="1"/>
    <col min="10" max="10" width="19.6328125" bestFit="1" customWidth="1"/>
    <col min="11" max="11" width="9.6328125" bestFit="1" customWidth="1"/>
    <col min="12" max="12" width="13.7265625" bestFit="1" customWidth="1"/>
    <col min="13" max="13" width="10.08984375" bestFit="1" customWidth="1"/>
    <col min="14" max="14" width="14.26953125" bestFit="1" customWidth="1"/>
    <col min="15" max="15" width="23" bestFit="1" customWidth="1"/>
  </cols>
  <sheetData>
    <row r="1" spans="1:15" ht="31.5" customHeight="1" x14ac:dyDescent="0.35">
      <c r="A1" s="89" t="s">
        <v>360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5" ht="30" customHeight="1" x14ac:dyDescent="0.35">
      <c r="A2" s="62" t="s">
        <v>361</v>
      </c>
      <c r="B2" s="62" t="s">
        <v>362</v>
      </c>
      <c r="C2" s="62" t="s">
        <v>363</v>
      </c>
      <c r="D2" s="62" t="s">
        <v>364</v>
      </c>
      <c r="E2" s="62" t="s">
        <v>87</v>
      </c>
      <c r="F2" s="62" t="s">
        <v>365</v>
      </c>
      <c r="G2" s="62" t="s">
        <v>366</v>
      </c>
      <c r="H2" s="62" t="s">
        <v>367</v>
      </c>
      <c r="I2" s="62" t="s">
        <v>368</v>
      </c>
      <c r="J2" s="62" t="s">
        <v>369</v>
      </c>
      <c r="K2" s="62" t="s">
        <v>370</v>
      </c>
      <c r="L2" s="62" t="s">
        <v>371</v>
      </c>
      <c r="M2" s="62" t="s">
        <v>113</v>
      </c>
      <c r="N2" s="62" t="s">
        <v>372</v>
      </c>
      <c r="O2" s="62" t="s">
        <v>24</v>
      </c>
    </row>
    <row r="3" spans="1:15" ht="30" customHeight="1" x14ac:dyDescent="0.35">
      <c r="A3" s="23">
        <v>1</v>
      </c>
      <c r="B3" s="23" t="s">
        <v>373</v>
      </c>
      <c r="C3" s="25" t="s">
        <v>374</v>
      </c>
      <c r="D3" s="25" t="s">
        <v>375</v>
      </c>
      <c r="E3" s="25" t="s">
        <v>376</v>
      </c>
      <c r="F3" s="25" t="s">
        <v>377</v>
      </c>
      <c r="G3" s="25" t="s">
        <v>378</v>
      </c>
      <c r="H3" s="25" t="s">
        <v>379</v>
      </c>
      <c r="I3" s="25" t="s">
        <v>380</v>
      </c>
      <c r="J3" s="25" t="s">
        <v>381</v>
      </c>
      <c r="K3" s="25" t="s">
        <v>382</v>
      </c>
      <c r="L3" s="25" t="s">
        <v>383</v>
      </c>
      <c r="M3" s="25" t="s">
        <v>384</v>
      </c>
      <c r="N3" s="25" t="s">
        <v>385</v>
      </c>
      <c r="O3" s="25" t="s">
        <v>386</v>
      </c>
    </row>
    <row r="4" spans="1:15" ht="30" customHeight="1" x14ac:dyDescent="0.35">
      <c r="A4" s="17">
        <v>2</v>
      </c>
      <c r="B4" s="17" t="s">
        <v>387</v>
      </c>
      <c r="C4" s="63" t="s">
        <v>388</v>
      </c>
      <c r="D4" s="63" t="s">
        <v>389</v>
      </c>
      <c r="E4" s="63" t="s">
        <v>376</v>
      </c>
      <c r="F4" s="63" t="s">
        <v>390</v>
      </c>
      <c r="G4" s="63" t="s">
        <v>391</v>
      </c>
      <c r="H4" s="63" t="s">
        <v>392</v>
      </c>
      <c r="I4" s="63" t="s">
        <v>393</v>
      </c>
      <c r="J4" s="63" t="s">
        <v>394</v>
      </c>
      <c r="K4" s="63"/>
      <c r="L4" s="63" t="s">
        <v>395</v>
      </c>
      <c r="M4" s="63" t="s">
        <v>384</v>
      </c>
      <c r="N4" s="63" t="s">
        <v>396</v>
      </c>
      <c r="O4" s="63" t="s">
        <v>397</v>
      </c>
    </row>
    <row r="5" spans="1:15" ht="30" customHeight="1" x14ac:dyDescent="0.35">
      <c r="A5" s="23">
        <v>3</v>
      </c>
      <c r="B5" s="23" t="s">
        <v>398</v>
      </c>
      <c r="C5" s="25" t="s">
        <v>399</v>
      </c>
      <c r="D5" s="25" t="s">
        <v>400</v>
      </c>
      <c r="E5" s="25" t="s">
        <v>376</v>
      </c>
      <c r="F5" s="25" t="s">
        <v>401</v>
      </c>
      <c r="G5" s="25" t="s">
        <v>402</v>
      </c>
      <c r="H5" s="25" t="s">
        <v>379</v>
      </c>
      <c r="I5" s="25" t="s">
        <v>403</v>
      </c>
      <c r="J5" s="25" t="s">
        <v>404</v>
      </c>
      <c r="K5" s="25"/>
      <c r="L5" s="25" t="s">
        <v>405</v>
      </c>
      <c r="M5" s="25" t="s">
        <v>406</v>
      </c>
      <c r="N5" s="25" t="s">
        <v>407</v>
      </c>
      <c r="O5" s="25" t="s">
        <v>408</v>
      </c>
    </row>
    <row r="6" spans="1:15" ht="21.75" customHeight="1" x14ac:dyDescent="0.35">
      <c r="A6" s="23"/>
      <c r="B6" s="23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ht="21.75" customHeight="1" x14ac:dyDescent="0.35">
      <c r="A7" s="17"/>
      <c r="B7" s="17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</row>
    <row r="8" spans="1:15" ht="21.75" customHeight="1" x14ac:dyDescent="0.35">
      <c r="A8" s="23"/>
      <c r="B8" s="23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21.75" customHeight="1" x14ac:dyDescent="0.35">
      <c r="A9" s="17"/>
      <c r="B9" s="17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</row>
    <row r="10" spans="1:15" ht="21.75" customHeight="1" x14ac:dyDescent="0.35">
      <c r="A10" s="23"/>
      <c r="B10" s="23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21.75" customHeight="1" x14ac:dyDescent="0.35">
      <c r="A11" s="17"/>
      <c r="B11" s="17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</row>
    <row r="12" spans="1:15" ht="21.75" customHeight="1" x14ac:dyDescent="0.35">
      <c r="A12" s="23"/>
      <c r="B12" s="23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21.75" customHeight="1" x14ac:dyDescent="0.35">
      <c r="A13" s="17"/>
      <c r="B13" s="17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</row>
    <row r="14" spans="1:15" ht="21.75" customHeight="1" x14ac:dyDescent="0.35">
      <c r="A14" s="23"/>
      <c r="B14" s="23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5" ht="21.75" customHeight="1" x14ac:dyDescent="0.35">
      <c r="A15" s="17"/>
      <c r="B15" s="17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6" spans="1:15" ht="21.75" customHeight="1" x14ac:dyDescent="0.35">
      <c r="A16" s="23"/>
      <c r="B16" s="23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1:15" ht="21.75" customHeight="1" x14ac:dyDescent="0.35">
      <c r="A17" s="17"/>
      <c r="B17" s="17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  <row r="18" spans="1:15" ht="21.75" customHeight="1" x14ac:dyDescent="0.35">
      <c r="A18" s="23"/>
      <c r="B18" s="23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spans="1:15" ht="21.75" customHeight="1" x14ac:dyDescent="0.35">
      <c r="A19" s="17"/>
      <c r="B19" s="17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</row>
    <row r="20" spans="1:15" ht="21.75" customHeight="1" x14ac:dyDescent="0.35">
      <c r="A20" s="23"/>
      <c r="B20" s="23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21.75" customHeight="1" x14ac:dyDescent="0.35">
      <c r="A21" s="17"/>
      <c r="B21" s="17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 spans="1:15" ht="21.75" customHeight="1" x14ac:dyDescent="0.35">
      <c r="A22" s="23"/>
      <c r="B22" s="23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1:15" ht="21.75" customHeight="1" x14ac:dyDescent="0.35">
      <c r="A23" s="17"/>
      <c r="B23" s="17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 spans="1:15" ht="21.75" customHeight="1" x14ac:dyDescent="0.35">
      <c r="A24" s="23"/>
      <c r="B24" s="23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1:15" ht="21.75" customHeight="1" x14ac:dyDescent="0.35">
      <c r="A25" s="17"/>
      <c r="B25" s="17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spans="1:15" ht="21.75" customHeight="1" x14ac:dyDescent="0.35">
      <c r="A26" s="23"/>
      <c r="B26" s="23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spans="1:15" ht="21.75" customHeight="1" x14ac:dyDescent="0.35">
      <c r="A27" s="17"/>
      <c r="B27" s="17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</row>
    <row r="28" spans="1:15" ht="21.75" customHeight="1" x14ac:dyDescent="0.35">
      <c r="A28" s="23"/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1:15" ht="21.75" customHeight="1" x14ac:dyDescent="0.35">
      <c r="A29" s="17"/>
      <c r="B29" s="17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</row>
    <row r="30" spans="1:15" ht="21.75" customHeight="1" x14ac:dyDescent="0.35">
      <c r="A30" s="23"/>
      <c r="B30" s="23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21.75" customHeight="1" x14ac:dyDescent="0.35">
      <c r="A31" s="17"/>
      <c r="B31" s="17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21.75" customHeight="1" x14ac:dyDescent="0.35">
      <c r="A32" s="23"/>
      <c r="B32" s="23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spans="1:15" ht="21.75" customHeight="1" x14ac:dyDescent="0.35">
      <c r="A33" s="17"/>
      <c r="B33" s="17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1:15" ht="21.75" customHeight="1" x14ac:dyDescent="0.35">
      <c r="A34" s="23"/>
      <c r="B34" s="23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21.75" customHeight="1" x14ac:dyDescent="0.35">
      <c r="A35" s="17"/>
      <c r="B35" s="17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21.75" customHeight="1" x14ac:dyDescent="0.35">
      <c r="A36" s="23"/>
      <c r="B36" s="23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1:15" ht="21.75" customHeight="1" x14ac:dyDescent="0.35">
      <c r="A37" s="17"/>
      <c r="B37" s="17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1:15" ht="21.75" customHeight="1" x14ac:dyDescent="0.35">
      <c r="A38" s="23"/>
      <c r="B38" s="23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1:15" ht="21.75" customHeight="1" x14ac:dyDescent="0.35">
      <c r="A39" s="17"/>
      <c r="B39" s="17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21.75" customHeight="1" x14ac:dyDescent="0.35">
      <c r="A40" s="23"/>
      <c r="B40" s="23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21.75" customHeight="1" x14ac:dyDescent="0.35">
      <c r="A41" s="17"/>
      <c r="B41" s="17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1:15" ht="21.75" customHeight="1" x14ac:dyDescent="0.35">
      <c r="A42" s="23"/>
      <c r="B42" s="23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21.75" customHeight="1" x14ac:dyDescent="0.35">
      <c r="A43" s="17"/>
      <c r="B43" s="17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1:15" ht="21.75" customHeight="1" x14ac:dyDescent="0.35">
      <c r="A44" s="23"/>
      <c r="B44" s="2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21.75" customHeight="1" x14ac:dyDescent="0.35">
      <c r="A45" s="17"/>
      <c r="B45" s="17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1:15" ht="21.75" customHeight="1" x14ac:dyDescent="0.35">
      <c r="A46" s="23"/>
      <c r="B46" s="23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21.75" customHeight="1" x14ac:dyDescent="0.35">
      <c r="A47" s="17"/>
      <c r="B47" s="17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1:15" ht="21.75" customHeight="1" x14ac:dyDescent="0.35">
      <c r="A48" s="23"/>
      <c r="B48" s="23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21.75" customHeight="1" x14ac:dyDescent="0.35">
      <c r="A49" s="17"/>
      <c r="B49" s="17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ht="21.75" customHeight="1" x14ac:dyDescent="0.35">
      <c r="A50" s="23"/>
      <c r="B50" s="23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21.75" customHeight="1" x14ac:dyDescent="0.35">
      <c r="A51" s="17"/>
      <c r="B51" s="17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1:15" ht="21.75" customHeight="1" x14ac:dyDescent="0.35">
      <c r="A52" s="23"/>
      <c r="B52" s="23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21.75" customHeight="1" x14ac:dyDescent="0.35">
      <c r="A53" s="17"/>
      <c r="B53" s="17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1:15" ht="21.75" customHeight="1" x14ac:dyDescent="0.35">
      <c r="A54" s="23"/>
      <c r="B54" s="23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21.75" customHeight="1" x14ac:dyDescent="0.35">
      <c r="A55" s="17"/>
      <c r="B55" s="17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1:15" ht="21.75" customHeight="1" x14ac:dyDescent="0.35">
      <c r="A56" s="23"/>
      <c r="B56" s="23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21.75" customHeight="1" x14ac:dyDescent="0.35">
      <c r="A57" s="17"/>
      <c r="B57" s="17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1:15" ht="21.75" customHeight="1" x14ac:dyDescent="0.35">
      <c r="A58" s="23"/>
      <c r="B58" s="23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21.75" customHeight="1" x14ac:dyDescent="0.35">
      <c r="A59" s="17"/>
      <c r="B59" s="17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15" ht="21.75" customHeight="1" x14ac:dyDescent="0.35">
      <c r="A60" s="23"/>
      <c r="B60" s="23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21.75" customHeight="1" x14ac:dyDescent="0.35">
      <c r="A61" s="17"/>
      <c r="B61" s="17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 spans="1:15" ht="21.75" customHeight="1" x14ac:dyDescent="0.35">
      <c r="A62" s="23"/>
      <c r="B62" s="23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21.75" customHeight="1" x14ac:dyDescent="0.35">
      <c r="A63" s="17"/>
      <c r="B63" s="17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 spans="1:15" ht="21.75" customHeight="1" x14ac:dyDescent="0.35">
      <c r="A64" s="23"/>
      <c r="B64" s="2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21.75" customHeight="1" x14ac:dyDescent="0.35">
      <c r="A65" s="17"/>
      <c r="B65" s="17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 spans="1:15" ht="21.75" customHeight="1" x14ac:dyDescent="0.35">
      <c r="A66" s="23"/>
      <c r="B66" s="23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21.75" customHeight="1" x14ac:dyDescent="0.35">
      <c r="A67" s="17"/>
      <c r="B67" s="17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 spans="1:15" ht="21.75" customHeight="1" x14ac:dyDescent="0.35">
      <c r="A68" s="23"/>
      <c r="B68" s="23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21.75" customHeight="1" x14ac:dyDescent="0.35">
      <c r="A69" s="17"/>
      <c r="B69" s="1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 spans="1:15" ht="21.75" customHeight="1" x14ac:dyDescent="0.35">
      <c r="A70" s="23"/>
      <c r="B70" s="23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21.75" customHeight="1" x14ac:dyDescent="0.35">
      <c r="A71" s="17"/>
      <c r="B71" s="17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 spans="1:15" ht="21.75" customHeight="1" x14ac:dyDescent="0.35">
      <c r="A72" s="23"/>
      <c r="B72" s="23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21.75" customHeight="1" x14ac:dyDescent="0.35">
      <c r="A73" s="17"/>
      <c r="B73" s="17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 spans="1:15" ht="21.75" customHeight="1" x14ac:dyDescent="0.35">
      <c r="A74" s="23"/>
      <c r="B74" s="23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21.75" customHeight="1" x14ac:dyDescent="0.35">
      <c r="A75" s="17"/>
      <c r="B75" s="17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 spans="1:15" ht="21.75" customHeight="1" x14ac:dyDescent="0.35">
      <c r="A76" s="23"/>
      <c r="B76" s="23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21.75" customHeight="1" x14ac:dyDescent="0.35">
      <c r="A77" s="17"/>
      <c r="B77" s="1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 spans="1:15" ht="21.75" customHeight="1" x14ac:dyDescent="0.35">
      <c r="A78" s="23"/>
      <c r="B78" s="23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21.75" customHeight="1" x14ac:dyDescent="0.35">
      <c r="A79" s="17"/>
      <c r="B79" s="17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 spans="1:15" ht="21.75" customHeight="1" x14ac:dyDescent="0.35">
      <c r="A80" s="23"/>
      <c r="B80" s="23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21.75" customHeight="1" x14ac:dyDescent="0.35">
      <c r="A81" s="17"/>
      <c r="B81" s="17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 spans="1:15" ht="21.75" customHeight="1" x14ac:dyDescent="0.35">
      <c r="A82" s="23"/>
      <c r="B82" s="23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21.75" customHeight="1" x14ac:dyDescent="0.35">
      <c r="A83" s="17"/>
      <c r="B83" s="17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 spans="1:15" ht="21.75" customHeight="1" x14ac:dyDescent="0.35">
      <c r="A84" s="23"/>
      <c r="B84" s="23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21.75" customHeight="1" x14ac:dyDescent="0.35">
      <c r="A85" s="17"/>
      <c r="B85" s="17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 spans="1:15" ht="21.75" customHeight="1" x14ac:dyDescent="0.35">
      <c r="A86" s="23"/>
      <c r="B86" s="23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21.75" customHeight="1" x14ac:dyDescent="0.35">
      <c r="A87" s="17"/>
      <c r="B87" s="17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 spans="1:15" ht="21.75" customHeight="1" x14ac:dyDescent="0.35">
      <c r="A88" s="23"/>
      <c r="B88" s="23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21.75" customHeight="1" x14ac:dyDescent="0.35">
      <c r="A89" s="17"/>
      <c r="B89" s="17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 spans="1:15" ht="21.75" customHeight="1" x14ac:dyDescent="0.35">
      <c r="A90" s="23"/>
      <c r="B90" s="23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21.75" customHeight="1" x14ac:dyDescent="0.35">
      <c r="A91" s="17"/>
      <c r="B91" s="17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 spans="1:15" ht="21.75" customHeight="1" x14ac:dyDescent="0.35">
      <c r="A92" s="23"/>
      <c r="B92" s="23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21.75" customHeight="1" x14ac:dyDescent="0.35">
      <c r="A93" s="17"/>
      <c r="B93" s="17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 spans="1:15" ht="21.75" customHeight="1" x14ac:dyDescent="0.35">
      <c r="A94" s="23"/>
      <c r="B94" s="23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21.75" customHeight="1" x14ac:dyDescent="0.35">
      <c r="A95" s="17"/>
      <c r="B95" s="17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 spans="1:15" ht="21.75" customHeight="1" x14ac:dyDescent="0.35">
      <c r="A96" s="23"/>
      <c r="B96" s="23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21.75" customHeight="1" x14ac:dyDescent="0.35">
      <c r="A97" s="17"/>
      <c r="B97" s="17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 spans="1:15" ht="21.75" customHeight="1" x14ac:dyDescent="0.35">
      <c r="A98" s="23"/>
      <c r="B98" s="23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21.75" customHeight="1" x14ac:dyDescent="0.35">
      <c r="A99" s="17"/>
      <c r="B99" s="17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 spans="1:15" ht="21.75" customHeight="1" x14ac:dyDescent="0.35">
      <c r="A100" s="23"/>
      <c r="B100" s="23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21.75" customHeight="1" x14ac:dyDescent="0.35">
      <c r="A101" s="17"/>
      <c r="B101" s="17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 spans="1:15" ht="21.75" customHeight="1" x14ac:dyDescent="0.35">
      <c r="A102" s="23"/>
      <c r="B102" s="23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21.75" customHeight="1" x14ac:dyDescent="0.35">
      <c r="A103" s="17"/>
      <c r="B103" s="17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 spans="1:15" ht="21.75" customHeight="1" x14ac:dyDescent="0.35">
      <c r="A104" s="23"/>
      <c r="B104" s="23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21.75" customHeight="1" x14ac:dyDescent="0.35">
      <c r="A105" s="17"/>
      <c r="B105" s="1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 spans="1:15" ht="21.75" customHeight="1" x14ac:dyDescent="0.35">
      <c r="A106" s="23"/>
      <c r="B106" s="23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21.75" customHeight="1" x14ac:dyDescent="0.35">
      <c r="A107" s="17"/>
      <c r="B107" s="17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 spans="1:15" ht="21.75" customHeight="1" x14ac:dyDescent="0.35">
      <c r="A108" s="23"/>
      <c r="B108" s="23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21.75" customHeight="1" x14ac:dyDescent="0.35">
      <c r="A109" s="17"/>
      <c r="B109" s="17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 spans="1:15" ht="21.75" customHeight="1" x14ac:dyDescent="0.35">
      <c r="A110" s="23"/>
      <c r="B110" s="23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21.75" customHeight="1" x14ac:dyDescent="0.35">
      <c r="A111" s="17"/>
      <c r="B111" s="17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 spans="1:15" ht="21.75" customHeight="1" x14ac:dyDescent="0.35">
      <c r="A112" s="23"/>
      <c r="B112" s="23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21.75" customHeight="1" x14ac:dyDescent="0.35">
      <c r="A113" s="17"/>
      <c r="B113" s="17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 spans="1:15" ht="21.75" customHeight="1" x14ac:dyDescent="0.35">
      <c r="A114" s="23"/>
      <c r="B114" s="23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21.75" customHeight="1" x14ac:dyDescent="0.35">
      <c r="A115" s="17"/>
      <c r="B115" s="17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 spans="1:15" ht="21.75" customHeight="1" x14ac:dyDescent="0.35">
      <c r="A116" s="23"/>
      <c r="B116" s="23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21.75" customHeight="1" x14ac:dyDescent="0.35">
      <c r="A117" s="17"/>
      <c r="B117" s="17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 spans="1:15" ht="21.75" customHeight="1" x14ac:dyDescent="0.35">
      <c r="A118" s="23"/>
      <c r="B118" s="23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21.75" customHeight="1" x14ac:dyDescent="0.35">
      <c r="A119" s="17"/>
      <c r="B119" s="17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 spans="1:15" ht="21.75" customHeight="1" x14ac:dyDescent="0.35">
      <c r="A120" s="23"/>
      <c r="B120" s="23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21.75" customHeight="1" x14ac:dyDescent="0.35">
      <c r="A121" s="17"/>
      <c r="B121" s="17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 spans="1:15" ht="21.75" customHeight="1" x14ac:dyDescent="0.35">
      <c r="A122" s="23"/>
      <c r="B122" s="23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21.75" customHeight="1" x14ac:dyDescent="0.35">
      <c r="A123" s="17"/>
      <c r="B123" s="17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 spans="1:15" ht="21.75" customHeight="1" x14ac:dyDescent="0.35">
      <c r="A124" s="23"/>
      <c r="B124" s="23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21.75" customHeight="1" x14ac:dyDescent="0.35">
      <c r="A125" s="17"/>
      <c r="B125" s="17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 spans="1:15" ht="21.75" customHeight="1" x14ac:dyDescent="0.35">
      <c r="A126" s="23"/>
      <c r="B126" s="23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21.75" customHeight="1" x14ac:dyDescent="0.35">
      <c r="A127" s="17"/>
      <c r="B127" s="17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 spans="1:15" ht="21.75" customHeight="1" x14ac:dyDescent="0.35">
      <c r="A128" s="23"/>
      <c r="B128" s="23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21.75" customHeight="1" x14ac:dyDescent="0.35">
      <c r="A129" s="17"/>
      <c r="B129" s="17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 spans="1:15" ht="21.75" customHeight="1" x14ac:dyDescent="0.35">
      <c r="A130" s="23"/>
      <c r="B130" s="23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21.75" customHeight="1" x14ac:dyDescent="0.35">
      <c r="A131" s="17"/>
      <c r="B131" s="17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 spans="1:15" ht="21.75" customHeight="1" x14ac:dyDescent="0.35">
      <c r="A132" s="23"/>
      <c r="B132" s="23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21.75" customHeight="1" x14ac:dyDescent="0.35">
      <c r="A133" s="17"/>
      <c r="B133" s="17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 spans="1:15" ht="21.75" customHeight="1" x14ac:dyDescent="0.35">
      <c r="A134" s="23"/>
      <c r="B134" s="23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21.75" customHeight="1" x14ac:dyDescent="0.35">
      <c r="A135" s="17"/>
      <c r="B135" s="17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 spans="1:15" ht="21.75" customHeight="1" x14ac:dyDescent="0.35">
      <c r="A136" s="23"/>
      <c r="B136" s="23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21.75" customHeight="1" x14ac:dyDescent="0.35">
      <c r="A137" s="17"/>
      <c r="B137" s="17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 spans="1:15" ht="21.75" customHeight="1" x14ac:dyDescent="0.35">
      <c r="A138" s="23"/>
      <c r="B138" s="23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21.75" customHeight="1" x14ac:dyDescent="0.35">
      <c r="A139" s="17"/>
      <c r="B139" s="17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 spans="1:15" ht="21.75" customHeight="1" x14ac:dyDescent="0.35">
      <c r="A140" s="23"/>
      <c r="B140" s="23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21.75" customHeight="1" x14ac:dyDescent="0.35">
      <c r="A141" s="17"/>
      <c r="B141" s="17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1:15" ht="21.75" customHeight="1" x14ac:dyDescent="0.35">
      <c r="A142" s="23"/>
      <c r="B142" s="23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21.75" customHeight="1" x14ac:dyDescent="0.35">
      <c r="A143" s="17"/>
      <c r="B143" s="17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 spans="1:15" ht="21.75" customHeight="1" x14ac:dyDescent="0.35">
      <c r="A144" s="23"/>
      <c r="B144" s="23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21.75" customHeight="1" x14ac:dyDescent="0.35">
      <c r="A145" s="17"/>
      <c r="B145" s="17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 spans="1:15" ht="21.75" customHeight="1" x14ac:dyDescent="0.35">
      <c r="A146" s="23"/>
      <c r="B146" s="23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21.75" customHeight="1" x14ac:dyDescent="0.35">
      <c r="A147" s="17"/>
      <c r="B147" s="17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 spans="1:15" ht="21.75" customHeight="1" x14ac:dyDescent="0.35">
      <c r="A148" s="23"/>
      <c r="B148" s="23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21.75" customHeight="1" x14ac:dyDescent="0.35">
      <c r="A149" s="17"/>
      <c r="B149" s="17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 spans="1:15" ht="21.75" customHeight="1" x14ac:dyDescent="0.35">
      <c r="A150" s="23"/>
      <c r="B150" s="23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21.75" customHeight="1" x14ac:dyDescent="0.35">
      <c r="A151" s="17"/>
      <c r="B151" s="17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 spans="1:15" ht="21.75" customHeight="1" x14ac:dyDescent="0.35">
      <c r="A152" s="23"/>
      <c r="B152" s="23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21.75" customHeight="1" x14ac:dyDescent="0.35">
      <c r="A153" s="17"/>
      <c r="B153" s="17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 spans="1:15" ht="21.75" customHeight="1" x14ac:dyDescent="0.35">
      <c r="A154" s="23"/>
      <c r="B154" s="23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spans="1:15" ht="21.75" customHeight="1" x14ac:dyDescent="0.35">
      <c r="A155" s="17"/>
      <c r="B155" s="17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 spans="1:15" ht="21.75" customHeight="1" x14ac:dyDescent="0.35">
      <c r="A156" s="23"/>
      <c r="B156" s="23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</row>
    <row r="157" spans="1:15" ht="21.75" customHeight="1" x14ac:dyDescent="0.35">
      <c r="A157" s="17"/>
      <c r="B157" s="17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 spans="1:15" ht="21.75" customHeight="1" x14ac:dyDescent="0.35">
      <c r="A158" s="23"/>
      <c r="B158" s="23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spans="1:15" ht="21.75" customHeight="1" x14ac:dyDescent="0.35">
      <c r="A159" s="17"/>
      <c r="B159" s="17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 spans="1:15" ht="21.75" customHeight="1" x14ac:dyDescent="0.35">
      <c r="A160" s="23"/>
      <c r="B160" s="23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</row>
    <row r="161" spans="1:15" ht="21.75" customHeight="1" x14ac:dyDescent="0.35">
      <c r="A161" s="17"/>
      <c r="B161" s="17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 spans="1:15" ht="21.75" customHeight="1" x14ac:dyDescent="0.35">
      <c r="A162" s="23"/>
      <c r="B162" s="23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spans="1:15" ht="21.75" customHeight="1" x14ac:dyDescent="0.35">
      <c r="A163" s="17"/>
      <c r="B163" s="17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 spans="1:15" ht="21.75" customHeight="1" x14ac:dyDescent="0.35">
      <c r="A164" s="23"/>
      <c r="B164" s="23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</row>
    <row r="165" spans="1:15" ht="21.75" customHeight="1" x14ac:dyDescent="0.35">
      <c r="A165" s="17"/>
      <c r="B165" s="17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 spans="1:15" ht="21.75" customHeight="1" x14ac:dyDescent="0.35">
      <c r="A166" s="23"/>
      <c r="B166" s="23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spans="1:15" ht="21.75" customHeight="1" x14ac:dyDescent="0.35">
      <c r="A167" s="17"/>
      <c r="B167" s="17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 spans="1:15" ht="21.75" customHeight="1" x14ac:dyDescent="0.35">
      <c r="A168" s="23"/>
      <c r="B168" s="23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</row>
    <row r="169" spans="1:15" ht="21.75" customHeight="1" x14ac:dyDescent="0.35">
      <c r="A169" s="17"/>
      <c r="B169" s="17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 spans="1:15" ht="21.75" customHeight="1" x14ac:dyDescent="0.35">
      <c r="A170" s="23"/>
      <c r="B170" s="23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spans="1:15" ht="21.75" customHeight="1" x14ac:dyDescent="0.35">
      <c r="A171" s="17"/>
      <c r="B171" s="17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 spans="1:15" ht="21.75" customHeight="1" x14ac:dyDescent="0.35">
      <c r="A172" s="23"/>
      <c r="B172" s="23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</row>
    <row r="173" spans="1:15" ht="21.75" customHeight="1" x14ac:dyDescent="0.35">
      <c r="A173" s="17"/>
      <c r="B173" s="17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 spans="1:15" ht="21.75" customHeight="1" x14ac:dyDescent="0.35">
      <c r="A174" s="23"/>
      <c r="B174" s="23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spans="1:15" ht="21.75" customHeight="1" x14ac:dyDescent="0.35">
      <c r="A175" s="17"/>
      <c r="B175" s="17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 spans="1:15" ht="21.75" customHeight="1" x14ac:dyDescent="0.35">
      <c r="A176" s="23"/>
      <c r="B176" s="23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</row>
    <row r="177" spans="1:15" ht="21.75" customHeight="1" x14ac:dyDescent="0.35">
      <c r="A177" s="17"/>
      <c r="B177" s="17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 spans="1:15" ht="21.75" customHeight="1" x14ac:dyDescent="0.35">
      <c r="A178" s="23"/>
      <c r="B178" s="23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spans="1:15" ht="21.75" customHeight="1" x14ac:dyDescent="0.35">
      <c r="A179" s="17"/>
      <c r="B179" s="17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 spans="1:15" ht="21.75" customHeight="1" x14ac:dyDescent="0.35">
      <c r="A180" s="23"/>
      <c r="B180" s="23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</row>
    <row r="181" spans="1:15" ht="21.75" customHeight="1" x14ac:dyDescent="0.35">
      <c r="A181" s="17"/>
      <c r="B181" s="17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 spans="1:15" ht="21.75" customHeight="1" x14ac:dyDescent="0.35">
      <c r="A182" s="23"/>
      <c r="B182" s="23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spans="1:15" ht="21.75" customHeight="1" x14ac:dyDescent="0.35">
      <c r="A183" s="17"/>
      <c r="B183" s="17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 spans="1:15" ht="21.75" customHeight="1" x14ac:dyDescent="0.35">
      <c r="A184" s="23"/>
      <c r="B184" s="23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</row>
    <row r="185" spans="1:15" ht="21.75" customHeight="1" x14ac:dyDescent="0.35">
      <c r="A185" s="17"/>
      <c r="B185" s="17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 spans="1:15" ht="21.75" customHeight="1" x14ac:dyDescent="0.35">
      <c r="A186" s="23"/>
      <c r="B186" s="23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spans="1:15" ht="21.75" customHeight="1" x14ac:dyDescent="0.35">
      <c r="A187" s="17"/>
      <c r="B187" s="17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 spans="1:15" ht="21.75" customHeight="1" x14ac:dyDescent="0.35">
      <c r="A188" s="23"/>
      <c r="B188" s="23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</row>
    <row r="189" spans="1:15" ht="21.75" customHeight="1" x14ac:dyDescent="0.35">
      <c r="A189" s="17"/>
      <c r="B189" s="17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 spans="1:15" ht="21.75" customHeight="1" x14ac:dyDescent="0.35">
      <c r="A190" s="23"/>
      <c r="B190" s="23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spans="1:15" ht="21.75" customHeight="1" x14ac:dyDescent="0.35">
      <c r="A191" s="17"/>
      <c r="B191" s="17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 spans="1:15" ht="21.75" customHeight="1" x14ac:dyDescent="0.35">
      <c r="A192" s="23"/>
      <c r="B192" s="23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</row>
    <row r="193" spans="1:15" ht="21.75" customHeight="1" x14ac:dyDescent="0.35">
      <c r="A193" s="17"/>
      <c r="B193" s="17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 spans="1:15" ht="21.75" customHeight="1" x14ac:dyDescent="0.35">
      <c r="A194" s="23"/>
      <c r="B194" s="23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spans="1:15" ht="21.75" customHeight="1" x14ac:dyDescent="0.35">
      <c r="A195" s="17"/>
      <c r="B195" s="17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 spans="1:15" ht="21.75" customHeight="1" x14ac:dyDescent="0.35">
      <c r="A196" s="23"/>
      <c r="B196" s="23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</row>
    <row r="197" spans="1:15" ht="21.75" customHeight="1" x14ac:dyDescent="0.35">
      <c r="A197" s="17"/>
      <c r="B197" s="17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 spans="1:15" ht="21.75" customHeight="1" x14ac:dyDescent="0.35">
      <c r="A198" s="23"/>
      <c r="B198" s="23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  <row r="199" spans="1:15" ht="21.75" customHeight="1" x14ac:dyDescent="0.35">
      <c r="A199" s="17"/>
      <c r="B199" s="17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 spans="1:15" ht="21.75" customHeight="1" x14ac:dyDescent="0.35">
      <c r="A200" s="23"/>
      <c r="B200" s="23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</row>
  </sheetData>
  <mergeCells count="1">
    <mergeCell ref="A1:M1"/>
  </mergeCells>
  <dataValidations count="4">
    <dataValidation type="list" sqref="E3:E200" xr:uid="{00000000-0002-0000-0200-000000000000}">
      <formula1>"Applied,Screening,HR Call,Tech Round 1,Tech Round 2,System Design,Final Round,Offer Received,Rejected,Withdrawn,No Response"</formula1>
      <formula2>0</formula2>
    </dataValidation>
    <dataValidation type="list" sqref="G3:G200" xr:uid="{00000000-0002-0000-0200-000001000000}">
      <formula1>"UAE/Dubai,UK,Germany,Netherlands,Ireland,France,Singapore,Canada,Remote"</formula1>
      <formula2>0</formula2>
    </dataValidation>
    <dataValidation type="list" sqref="M3:M200" xr:uid="{00000000-0002-0000-0200-000002000000}">
      <formula1>"🔴 High,🟡 Medium,🟢 Low"</formula1>
      <formula2>0</formula2>
    </dataValidation>
    <dataValidation type="list" sqref="H3:H200" xr:uid="{00000000-0002-0000-0200-000003000000}">
      <formula1>"LinkedIn,Direct (Website),Naukri Gulf,GulfTalent,Bayt,Wellfound,Indeed,Stepstone,Glassdoor,Referral,Recruiter,Other"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showGridLines="0" zoomScaleNormal="100" workbookViewId="0">
      <selection sqref="A1:K1"/>
    </sheetView>
  </sheetViews>
  <sheetFormatPr defaultColWidth="8.6328125" defaultRowHeight="14.5" x14ac:dyDescent="0.35"/>
  <cols>
    <col min="1" max="1" width="5" customWidth="1"/>
    <col min="2" max="2" width="12" customWidth="1"/>
    <col min="3" max="3" width="20" customWidth="1"/>
    <col min="4" max="4" width="18" customWidth="1"/>
    <col min="5" max="5" width="22" customWidth="1"/>
    <col min="6" max="8" width="12" customWidth="1"/>
    <col min="9" max="9" width="22" customWidth="1"/>
    <col min="10" max="11" width="14" customWidth="1"/>
    <col min="12" max="12" width="28" customWidth="1"/>
    <col min="13" max="13" width="30" customWidth="1"/>
  </cols>
  <sheetData>
    <row r="1" spans="1:13" ht="31.5" customHeight="1" x14ac:dyDescent="0.35">
      <c r="A1" s="90" t="s">
        <v>409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3" ht="27.75" customHeight="1" x14ac:dyDescent="0.35">
      <c r="A2" s="64" t="s">
        <v>361</v>
      </c>
      <c r="B2" s="64" t="s">
        <v>112</v>
      </c>
      <c r="C2" s="64" t="s">
        <v>410</v>
      </c>
      <c r="D2" s="64" t="s">
        <v>411</v>
      </c>
      <c r="E2" s="64" t="s">
        <v>363</v>
      </c>
      <c r="F2" s="64" t="s">
        <v>366</v>
      </c>
      <c r="G2" s="64" t="s">
        <v>412</v>
      </c>
      <c r="H2" s="64" t="s">
        <v>413</v>
      </c>
      <c r="I2" s="64" t="s">
        <v>414</v>
      </c>
      <c r="J2" s="64" t="s">
        <v>415</v>
      </c>
      <c r="K2" s="64" t="s">
        <v>416</v>
      </c>
      <c r="L2" s="64" t="s">
        <v>417</v>
      </c>
      <c r="M2" s="64" t="s">
        <v>24</v>
      </c>
    </row>
    <row r="3" spans="1:13" ht="24.75" customHeight="1" x14ac:dyDescent="0.35">
      <c r="A3" s="28">
        <v>1</v>
      </c>
      <c r="B3" s="28" t="s">
        <v>373</v>
      </c>
      <c r="C3" s="30" t="s">
        <v>418</v>
      </c>
      <c r="D3" s="30" t="s">
        <v>419</v>
      </c>
      <c r="E3" s="30" t="s">
        <v>420</v>
      </c>
      <c r="F3" s="30" t="s">
        <v>378</v>
      </c>
      <c r="G3" s="30" t="s">
        <v>421</v>
      </c>
      <c r="H3" s="30" t="s">
        <v>422</v>
      </c>
      <c r="I3" s="30" t="s">
        <v>423</v>
      </c>
      <c r="J3" s="30" t="s">
        <v>383</v>
      </c>
      <c r="K3" s="30" t="s">
        <v>424</v>
      </c>
      <c r="L3" s="30" t="s">
        <v>425</v>
      </c>
      <c r="M3" s="30" t="s">
        <v>426</v>
      </c>
    </row>
    <row r="4" spans="1:13" ht="24.75" customHeight="1" x14ac:dyDescent="0.35">
      <c r="A4" s="17">
        <v>2</v>
      </c>
      <c r="B4" s="17" t="s">
        <v>373</v>
      </c>
      <c r="C4" s="63" t="s">
        <v>427</v>
      </c>
      <c r="D4" s="63" t="s">
        <v>428</v>
      </c>
      <c r="E4" s="63" t="s">
        <v>429</v>
      </c>
      <c r="F4" s="63" t="s">
        <v>391</v>
      </c>
      <c r="G4" s="63" t="s">
        <v>421</v>
      </c>
      <c r="H4" s="63" t="s">
        <v>422</v>
      </c>
      <c r="I4" s="63" t="s">
        <v>423</v>
      </c>
      <c r="J4" s="63" t="s">
        <v>383</v>
      </c>
      <c r="K4" s="63" t="s">
        <v>424</v>
      </c>
      <c r="L4" s="63" t="s">
        <v>425</v>
      </c>
      <c r="M4" s="63" t="s">
        <v>430</v>
      </c>
    </row>
    <row r="5" spans="1:13" ht="21.75" customHeight="1" x14ac:dyDescent="0.35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</row>
    <row r="6" spans="1:13" ht="21.75" customHeight="1" x14ac:dyDescent="0.3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21.75" customHeight="1" x14ac:dyDescent="0.35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</row>
    <row r="8" spans="1:13" ht="21.75" customHeight="1" x14ac:dyDescent="0.3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 ht="21.75" customHeight="1" x14ac:dyDescent="0.3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1:13" ht="21.75" customHeight="1" x14ac:dyDescent="0.3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ht="21.75" customHeight="1" x14ac:dyDescent="0.3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13" ht="21.75" customHeight="1" x14ac:dyDescent="0.3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3" ht="21.75" customHeight="1" x14ac:dyDescent="0.3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  <row r="14" spans="1:13" ht="21.75" customHeight="1" x14ac:dyDescent="0.3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spans="1:13" ht="21.75" customHeight="1" x14ac:dyDescent="0.3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 spans="1:13" ht="21.75" customHeight="1" x14ac:dyDescent="0.3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21.75" customHeight="1" x14ac:dyDescent="0.3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 spans="1:13" ht="21.75" customHeight="1" x14ac:dyDescent="0.3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21.75" customHeight="1" x14ac:dyDescent="0.3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 ht="21.75" customHeight="1" x14ac:dyDescent="0.3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21.75" customHeight="1" x14ac:dyDescent="0.3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1:13" ht="21.75" customHeight="1" x14ac:dyDescent="0.3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3" ht="21.75" customHeight="1" x14ac:dyDescent="0.3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21.75" customHeight="1" x14ac:dyDescent="0.3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ht="21.75" customHeight="1" x14ac:dyDescent="0.3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21.75" customHeight="1" x14ac:dyDescent="0.3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ht="21.75" customHeight="1" x14ac:dyDescent="0.3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 spans="1:13" ht="21.75" customHeight="1" x14ac:dyDescent="0.3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21.75" customHeight="1" x14ac:dyDescent="0.3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</row>
    <row r="30" spans="1:13" ht="21.75" customHeight="1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21.75" customHeight="1" x14ac:dyDescent="0.3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</row>
    <row r="32" spans="1:13" ht="21.75" customHeight="1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ht="21.75" customHeight="1" x14ac:dyDescent="0.3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3" ht="21.75" customHeight="1" x14ac:dyDescent="0.3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ht="21.75" customHeight="1" x14ac:dyDescent="0.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 spans="1:13" ht="21.75" customHeight="1" x14ac:dyDescent="0.3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ht="21.75" customHeight="1" x14ac:dyDescent="0.3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spans="1:13" ht="21.75" customHeight="1" x14ac:dyDescent="0.3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ht="21.75" customHeight="1" x14ac:dyDescent="0.3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</row>
    <row r="40" spans="1:13" ht="21.75" customHeight="1" x14ac:dyDescent="0.3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21.75" customHeight="1" x14ac:dyDescent="0.3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</row>
    <row r="42" spans="1:13" ht="21.75" customHeight="1" x14ac:dyDescent="0.3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21.75" customHeight="1" x14ac:dyDescent="0.3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spans="1:13" ht="21.75" customHeight="1" x14ac:dyDescent="0.3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21.75" customHeight="1" x14ac:dyDescent="0.3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3" ht="21.75" customHeight="1" x14ac:dyDescent="0.3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1:13" ht="21.75" customHeight="1" x14ac:dyDescent="0.3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  <row r="48" spans="1:13" ht="21.75" customHeight="1" x14ac:dyDescent="0.3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13" ht="21.75" customHeight="1" x14ac:dyDescent="0.3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spans="1:13" ht="21.75" customHeight="1" x14ac:dyDescent="0.3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21.75" customHeight="1" x14ac:dyDescent="0.3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ht="21.75" customHeight="1" x14ac:dyDescent="0.3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ht="21.75" customHeight="1" x14ac:dyDescent="0.3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spans="1:13" ht="21.75" customHeight="1" x14ac:dyDescent="0.3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spans="1:13" ht="21.75" customHeight="1" x14ac:dyDescent="0.3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spans="1:13" ht="21.75" customHeight="1" x14ac:dyDescent="0.3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spans="1:13" ht="21.75" customHeight="1" x14ac:dyDescent="0.3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spans="1:13" ht="21.75" customHeight="1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21.75" customHeight="1" x14ac:dyDescent="0.3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spans="1:13" ht="21.75" customHeight="1" x14ac:dyDescent="0.3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spans="1:13" ht="21.75" customHeight="1" x14ac:dyDescent="0.3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</row>
    <row r="62" spans="1:13" ht="21.75" customHeight="1" x14ac:dyDescent="0.3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spans="1:13" ht="21.75" customHeight="1" x14ac:dyDescent="0.3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</row>
    <row r="64" spans="1:13" ht="21.75" customHeight="1" x14ac:dyDescent="0.3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</row>
    <row r="65" spans="1:13" ht="21.75" customHeight="1" x14ac:dyDescent="0.3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</row>
    <row r="66" spans="1:13" ht="21.75" customHeight="1" x14ac:dyDescent="0.3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</row>
    <row r="67" spans="1:13" ht="21.75" customHeight="1" x14ac:dyDescent="0.3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</row>
    <row r="68" spans="1:13" ht="21.75" customHeight="1" x14ac:dyDescent="0.3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</row>
    <row r="69" spans="1:13" ht="21.75" customHeight="1" x14ac:dyDescent="0.3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 spans="1:13" ht="21.75" customHeight="1" x14ac:dyDescent="0.3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</row>
    <row r="71" spans="1:13" ht="21.75" customHeight="1" x14ac:dyDescent="0.3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3" ht="21.75" customHeight="1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</row>
    <row r="73" spans="1:13" ht="21.75" customHeight="1" x14ac:dyDescent="0.3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</row>
    <row r="74" spans="1:13" ht="21.75" customHeight="1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</row>
    <row r="75" spans="1:13" ht="21.75" customHeight="1" x14ac:dyDescent="0.3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</row>
    <row r="76" spans="1:13" ht="21.75" customHeight="1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</row>
    <row r="77" spans="1:13" ht="21.75" customHeight="1" x14ac:dyDescent="0.3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 spans="1:13" ht="21.75" customHeight="1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</row>
    <row r="79" spans="1:13" ht="21.75" customHeight="1" x14ac:dyDescent="0.3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  <row r="80" spans="1:13" ht="21.75" customHeight="1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spans="1:13" ht="21.75" customHeight="1" x14ac:dyDescent="0.3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</row>
    <row r="82" spans="1:13" ht="21.75" customHeight="1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</row>
    <row r="83" spans="1:13" ht="21.75" customHeight="1" x14ac:dyDescent="0.3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</row>
    <row r="84" spans="1:13" ht="21.75" customHeight="1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</row>
    <row r="85" spans="1:13" ht="21.75" customHeight="1" x14ac:dyDescent="0.3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</row>
    <row r="86" spans="1:13" ht="21.75" customHeight="1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spans="1:13" ht="21.75" customHeight="1" x14ac:dyDescent="0.3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</row>
    <row r="88" spans="1:13" ht="21.75" customHeight="1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</row>
    <row r="89" spans="1:13" ht="21.75" customHeight="1" x14ac:dyDescent="0.3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</row>
    <row r="90" spans="1:13" ht="21.75" customHeight="1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spans="1:13" ht="21.75" customHeight="1" x14ac:dyDescent="0.3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</row>
    <row r="92" spans="1:13" ht="21.75" customHeight="1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</row>
    <row r="93" spans="1:13" ht="21.75" customHeight="1" x14ac:dyDescent="0.3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</row>
    <row r="94" spans="1:13" ht="21.75" customHeight="1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</row>
    <row r="95" spans="1:13" ht="21.75" customHeight="1" x14ac:dyDescent="0.3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</row>
    <row r="96" spans="1:13" ht="21.75" customHeight="1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7" spans="1:13" ht="21.75" customHeight="1" x14ac:dyDescent="0.3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</row>
    <row r="98" spans="1:13" ht="21.75" customHeigh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</row>
    <row r="99" spans="1:13" ht="21.75" customHeight="1" x14ac:dyDescent="0.3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</row>
    <row r="100" spans="1:13" ht="21.75" customHeigh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</row>
  </sheetData>
  <mergeCells count="1">
    <mergeCell ref="A1:K1"/>
  </mergeCells>
  <dataValidations count="4">
    <dataValidation type="list" allowBlank="1" sqref="G3:G100" xr:uid="{00000000-0002-0000-0300-000000000000}">
      <formula1>"Yes,No"</formula1>
      <formula2>0</formula2>
    </dataValidation>
    <dataValidation type="list" allowBlank="1" sqref="H3:H100" xr:uid="{00000000-0002-0000-0300-000001000000}">
      <formula1>"Yes,No,Not Yet"</formula1>
      <formula2>0</formula2>
    </dataValidation>
    <dataValidation type="list" allowBlank="1" sqref="I3:I100" xr:uid="{00000000-0002-0000-0300-000002000000}">
      <formula1>"Call Scheduled,Referred to Job,No Fit,Pending,Ghosted,Future Keep"</formula1>
      <formula2>0</formula2>
    </dataValidation>
    <dataValidation type="list" allowBlank="1" sqref="F3:F100" xr:uid="{00000000-0002-0000-0300-000003000000}">
      <formula1>"UAE/Dubai,UK,Germany,Netherlands,Ireland,France,Global"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"/>
  <sheetViews>
    <sheetView showGridLines="0" zoomScaleNormal="100" workbookViewId="0">
      <selection sqref="A1:L1"/>
    </sheetView>
  </sheetViews>
  <sheetFormatPr defaultColWidth="8.6328125" defaultRowHeight="14.5" x14ac:dyDescent="0.35"/>
  <cols>
    <col min="1" max="1" width="5" customWidth="1"/>
    <col min="2" max="2" width="20" customWidth="1"/>
    <col min="3" max="3" width="25" customWidth="1"/>
    <col min="4" max="4" width="12" customWidth="1"/>
    <col min="5" max="5" width="9" customWidth="1"/>
    <col min="6" max="6" width="22" customWidth="1"/>
    <col min="7" max="7" width="16" customWidth="1"/>
    <col min="8" max="8" width="18" customWidth="1"/>
    <col min="9" max="9" width="12" customWidth="1"/>
    <col min="10" max="10" width="16" customWidth="1"/>
    <col min="11" max="11" width="18" customWidth="1"/>
    <col min="12" max="12" width="28" customWidth="1"/>
    <col min="13" max="14" width="35" customWidth="1"/>
  </cols>
  <sheetData>
    <row r="1" spans="1:14" ht="31.5" customHeight="1" x14ac:dyDescent="0.35">
      <c r="A1" s="91" t="s">
        <v>431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4" ht="27.75" customHeight="1" x14ac:dyDescent="0.35">
      <c r="A2" s="65" t="s">
        <v>361</v>
      </c>
      <c r="B2" s="65" t="s">
        <v>363</v>
      </c>
      <c r="C2" s="65" t="s">
        <v>432</v>
      </c>
      <c r="D2" s="65" t="s">
        <v>366</v>
      </c>
      <c r="E2" s="65" t="s">
        <v>433</v>
      </c>
      <c r="F2" s="65" t="s">
        <v>434</v>
      </c>
      <c r="G2" s="65" t="s">
        <v>435</v>
      </c>
      <c r="H2" s="65" t="s">
        <v>436</v>
      </c>
      <c r="I2" s="65" t="s">
        <v>437</v>
      </c>
      <c r="J2" s="65" t="s">
        <v>87</v>
      </c>
      <c r="K2" s="65" t="s">
        <v>438</v>
      </c>
      <c r="L2" s="65" t="s">
        <v>439</v>
      </c>
      <c r="M2" s="65" t="s">
        <v>440</v>
      </c>
      <c r="N2" s="65" t="s">
        <v>441</v>
      </c>
    </row>
    <row r="3" spans="1:14" ht="31.5" customHeight="1" x14ac:dyDescent="0.3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31.5" customHeight="1" x14ac:dyDescent="0.3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</row>
    <row r="5" spans="1:14" ht="31.5" customHeight="1" x14ac:dyDescent="0.3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ht="31.5" customHeight="1" x14ac:dyDescent="0.3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</row>
    <row r="7" spans="1:14" ht="31.5" customHeight="1" x14ac:dyDescent="0.3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ht="31.5" customHeight="1" x14ac:dyDescent="0.3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</row>
    <row r="9" spans="1:14" ht="31.5" customHeight="1" x14ac:dyDescent="0.3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ht="31.5" customHeight="1" x14ac:dyDescent="0.3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31.5" customHeight="1" x14ac:dyDescent="0.3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ht="31.5" customHeight="1" x14ac:dyDescent="0.3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</row>
    <row r="13" spans="1:14" ht="31.5" customHeight="1" x14ac:dyDescent="0.3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14" ht="31.5" customHeight="1" x14ac:dyDescent="0.3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</row>
    <row r="15" spans="1:14" ht="31.5" customHeight="1" x14ac:dyDescent="0.3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 ht="31.5" customHeight="1" x14ac:dyDescent="0.3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</row>
    <row r="17" spans="1:14" ht="31.5" customHeight="1" x14ac:dyDescent="0.3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ht="31.5" customHeight="1" x14ac:dyDescent="0.3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</row>
    <row r="19" spans="1:14" ht="31.5" customHeight="1" x14ac:dyDescent="0.3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 ht="31.5" customHeight="1" x14ac:dyDescent="0.3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</row>
    <row r="21" spans="1:14" ht="31.5" customHeight="1" x14ac:dyDescent="0.3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 ht="31.5" customHeight="1" x14ac:dyDescent="0.3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 ht="31.5" customHeight="1" x14ac:dyDescent="0.3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1:14" ht="31.5" customHeight="1" x14ac:dyDescent="0.3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 ht="31.5" customHeight="1" x14ac:dyDescent="0.3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4" ht="31.5" customHeight="1" x14ac:dyDescent="0.3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 ht="31.5" customHeight="1" x14ac:dyDescent="0.3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4" ht="31.5" customHeight="1" x14ac:dyDescent="0.3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</row>
    <row r="29" spans="1:14" ht="31.5" customHeight="1" x14ac:dyDescent="0.3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1:14" ht="31.5" customHeight="1" x14ac:dyDescent="0.3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</row>
    <row r="31" spans="1:14" ht="31.5" customHeight="1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1:14" ht="31.5" customHeight="1" x14ac:dyDescent="0.3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3" spans="1:14" ht="31.5" customHeight="1" x14ac:dyDescent="0.3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4" ht="31.5" customHeight="1" x14ac:dyDescent="0.3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</row>
    <row r="35" spans="1:14" ht="31.5" customHeight="1" x14ac:dyDescent="0.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1:14" ht="31.5" customHeight="1" x14ac:dyDescent="0.3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</row>
    <row r="37" spans="1:14" ht="31.5" customHeight="1" x14ac:dyDescent="0.3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1:14" ht="31.5" customHeight="1" x14ac:dyDescent="0.3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</row>
    <row r="39" spans="1:14" ht="31.5" customHeight="1" x14ac:dyDescent="0.3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1:14" ht="31.5" customHeight="1" x14ac:dyDescent="0.3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spans="1:14" ht="31.5" customHeight="1" x14ac:dyDescent="0.3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1:14" ht="31.5" customHeight="1" x14ac:dyDescent="0.3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</row>
    <row r="43" spans="1:14" ht="31.5" customHeight="1" x14ac:dyDescent="0.3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</row>
    <row r="44" spans="1:14" ht="31.5" customHeight="1" x14ac:dyDescent="0.3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</row>
    <row r="45" spans="1:14" ht="31.5" customHeight="1" x14ac:dyDescent="0.3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1:14" ht="31.5" customHeight="1" x14ac:dyDescent="0.3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ht="31.5" customHeight="1" x14ac:dyDescent="0.3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1:14" ht="31.5" customHeight="1" x14ac:dyDescent="0.3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</row>
    <row r="49" spans="1:14" ht="31.5" customHeight="1" x14ac:dyDescent="0.3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 spans="1:14" ht="31.5" customHeight="1" x14ac:dyDescent="0.3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</row>
  </sheetData>
  <mergeCells count="1">
    <mergeCell ref="A1:L1"/>
  </mergeCells>
  <dataValidations count="3">
    <dataValidation type="list" allowBlank="1" sqref="F3:F50" xr:uid="{00000000-0002-0000-0400-000000000000}">
      <formula1>"HR Screening,Technical (ML/DS),Coding Round,System Design,Case Study,Take-Home,Final Panel,Offer Call"</formula1>
      <formula2>0</formula2>
    </dataValidation>
    <dataValidation type="list" allowBlank="1" sqref="I3:I50" xr:uid="{00000000-0002-0000-0400-000001000000}">
      <formula1>"Video Call,Phone,In-Person,Async Video"</formula1>
      <formula2>0</formula2>
    </dataValidation>
    <dataValidation type="list" allowBlank="1" sqref="J3:J50" xr:uid="{00000000-0002-0000-0400-000002000000}">
      <formula1>"Scheduled,In Progress,Passed,Rejected,Pending Decision,Offer,Withdrawn"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showGridLines="0" topLeftCell="A43" zoomScaleNormal="100" workbookViewId="0">
      <selection sqref="A1:J1"/>
    </sheetView>
  </sheetViews>
  <sheetFormatPr defaultColWidth="8.6328125" defaultRowHeight="14.5" x14ac:dyDescent="0.35"/>
  <cols>
    <col min="1" max="1" width="12" customWidth="1"/>
    <col min="2" max="2" width="30" customWidth="1"/>
    <col min="3" max="3" width="45" customWidth="1"/>
    <col min="4" max="4" width="10" customWidth="1"/>
    <col min="5" max="5" width="18" customWidth="1"/>
    <col min="6" max="6" width="14" customWidth="1"/>
    <col min="7" max="7" width="28" customWidth="1"/>
  </cols>
  <sheetData>
    <row r="1" spans="1:10" ht="31.5" customHeight="1" x14ac:dyDescent="0.35">
      <c r="A1" s="92" t="s">
        <v>442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27.75" customHeight="1" x14ac:dyDescent="0.35">
      <c r="A2" s="66" t="s">
        <v>443</v>
      </c>
      <c r="B2" s="66" t="s">
        <v>411</v>
      </c>
      <c r="C2" s="66" t="s">
        <v>444</v>
      </c>
      <c r="D2" s="66" t="s">
        <v>445</v>
      </c>
      <c r="E2" s="66" t="s">
        <v>446</v>
      </c>
      <c r="F2" s="66" t="s">
        <v>447</v>
      </c>
      <c r="G2" s="66" t="s">
        <v>448</v>
      </c>
      <c r="H2" s="66" t="s">
        <v>449</v>
      </c>
    </row>
    <row r="3" spans="1:10" ht="37.5" customHeight="1" x14ac:dyDescent="0.35">
      <c r="A3" s="67" t="s">
        <v>450</v>
      </c>
      <c r="B3" s="45" t="s">
        <v>451</v>
      </c>
      <c r="C3" s="45" t="s">
        <v>452</v>
      </c>
      <c r="D3" s="45" t="s">
        <v>453</v>
      </c>
      <c r="E3" s="45" t="s">
        <v>454</v>
      </c>
      <c r="F3" s="45" t="s">
        <v>455</v>
      </c>
      <c r="G3" s="45" t="s">
        <v>456</v>
      </c>
      <c r="H3" s="45" t="s">
        <v>457</v>
      </c>
    </row>
    <row r="4" spans="1:10" ht="37.5" customHeight="1" x14ac:dyDescent="0.35">
      <c r="A4" s="68" t="s">
        <v>458</v>
      </c>
      <c r="B4" s="25" t="s">
        <v>459</v>
      </c>
      <c r="C4" s="25" t="s">
        <v>460</v>
      </c>
      <c r="D4" s="25" t="s">
        <v>461</v>
      </c>
      <c r="E4" s="25" t="s">
        <v>462</v>
      </c>
      <c r="F4" s="25" t="s">
        <v>456</v>
      </c>
      <c r="G4" s="25" t="s">
        <v>463</v>
      </c>
      <c r="H4" s="25" t="s">
        <v>464</v>
      </c>
    </row>
    <row r="5" spans="1:10" ht="37.5" customHeight="1" x14ac:dyDescent="0.35">
      <c r="A5" s="69" t="s">
        <v>465</v>
      </c>
      <c r="B5" s="30" t="s">
        <v>466</v>
      </c>
      <c r="C5" s="30" t="s">
        <v>467</v>
      </c>
      <c r="D5" s="30" t="s">
        <v>468</v>
      </c>
      <c r="E5" s="30" t="s">
        <v>469</v>
      </c>
      <c r="F5" s="30" t="s">
        <v>470</v>
      </c>
      <c r="G5" s="30" t="s">
        <v>471</v>
      </c>
      <c r="H5" s="30" t="s">
        <v>472</v>
      </c>
    </row>
    <row r="6" spans="1:10" ht="37.5" customHeight="1" x14ac:dyDescent="0.35">
      <c r="A6" s="70" t="s">
        <v>473</v>
      </c>
      <c r="B6" s="35" t="s">
        <v>474</v>
      </c>
      <c r="C6" s="35" t="s">
        <v>475</v>
      </c>
      <c r="D6" s="35" t="s">
        <v>476</v>
      </c>
      <c r="E6" s="35" t="s">
        <v>462</v>
      </c>
      <c r="F6" s="35" t="s">
        <v>477</v>
      </c>
      <c r="G6" s="35" t="s">
        <v>478</v>
      </c>
      <c r="H6" s="35" t="s">
        <v>479</v>
      </c>
    </row>
    <row r="7" spans="1:10" ht="37.5" customHeight="1" x14ac:dyDescent="0.35">
      <c r="A7" s="71" t="s">
        <v>480</v>
      </c>
      <c r="B7" s="40" t="s">
        <v>481</v>
      </c>
      <c r="C7" s="40" t="s">
        <v>482</v>
      </c>
      <c r="D7" s="40" t="s">
        <v>483</v>
      </c>
      <c r="E7" s="40" t="s">
        <v>484</v>
      </c>
      <c r="F7" s="40" t="s">
        <v>485</v>
      </c>
      <c r="G7" s="40" t="s">
        <v>486</v>
      </c>
      <c r="H7" s="40" t="s">
        <v>487</v>
      </c>
    </row>
    <row r="8" spans="1:10" ht="15.75" customHeight="1" x14ac:dyDescent="0.35"/>
    <row r="9" spans="1:10" ht="21.75" customHeight="1" x14ac:dyDescent="0.35">
      <c r="A9" s="93" t="s">
        <v>488</v>
      </c>
      <c r="B9" s="93"/>
      <c r="C9" s="93"/>
      <c r="D9" s="93"/>
      <c r="E9" s="93"/>
      <c r="F9" s="93"/>
      <c r="G9" s="93"/>
      <c r="H9" s="93"/>
      <c r="I9" s="93"/>
    </row>
    <row r="10" spans="1:10" ht="24.75" customHeight="1" x14ac:dyDescent="0.35">
      <c r="A10" s="66" t="s">
        <v>443</v>
      </c>
      <c r="B10" s="66" t="s">
        <v>489</v>
      </c>
      <c r="C10" s="66" t="s">
        <v>490</v>
      </c>
      <c r="D10" s="66" t="s">
        <v>491</v>
      </c>
      <c r="E10" s="66" t="s">
        <v>87</v>
      </c>
      <c r="F10" s="66" t="s">
        <v>492</v>
      </c>
      <c r="G10" s="66" t="s">
        <v>24</v>
      </c>
    </row>
    <row r="11" spans="1:10" ht="21.75" customHeight="1" x14ac:dyDescent="0.35">
      <c r="A11" s="67" t="s">
        <v>450</v>
      </c>
      <c r="B11" s="45" t="s">
        <v>493</v>
      </c>
      <c r="C11" s="45" t="s">
        <v>494</v>
      </c>
      <c r="D11" s="43" t="s">
        <v>359</v>
      </c>
      <c r="E11" s="43" t="s">
        <v>90</v>
      </c>
      <c r="F11" s="45"/>
      <c r="G11" s="45"/>
    </row>
    <row r="12" spans="1:10" ht="21.75" customHeight="1" x14ac:dyDescent="0.35">
      <c r="A12" s="67" t="s">
        <v>450</v>
      </c>
      <c r="B12" s="45" t="s">
        <v>495</v>
      </c>
      <c r="C12" s="45" t="s">
        <v>496</v>
      </c>
      <c r="D12" s="43" t="s">
        <v>344</v>
      </c>
      <c r="E12" s="43" t="s">
        <v>90</v>
      </c>
      <c r="F12" s="45"/>
      <c r="G12" s="45"/>
    </row>
    <row r="13" spans="1:10" ht="21.75" customHeight="1" x14ac:dyDescent="0.35">
      <c r="A13" s="67" t="s">
        <v>450</v>
      </c>
      <c r="B13" s="45" t="s">
        <v>497</v>
      </c>
      <c r="C13" s="45" t="s">
        <v>498</v>
      </c>
      <c r="D13" s="43" t="s">
        <v>359</v>
      </c>
      <c r="E13" s="43" t="s">
        <v>90</v>
      </c>
      <c r="F13" s="45"/>
      <c r="G13" s="45"/>
    </row>
    <row r="14" spans="1:10" ht="21.75" customHeight="1" x14ac:dyDescent="0.35">
      <c r="A14" s="67" t="s">
        <v>450</v>
      </c>
      <c r="B14" s="45" t="s">
        <v>499</v>
      </c>
      <c r="C14" s="45" t="s">
        <v>500</v>
      </c>
      <c r="D14" s="43" t="s">
        <v>359</v>
      </c>
      <c r="E14" s="43" t="s">
        <v>90</v>
      </c>
      <c r="F14" s="45"/>
      <c r="G14" s="45"/>
    </row>
    <row r="15" spans="1:10" ht="21.75" customHeight="1" x14ac:dyDescent="0.35">
      <c r="A15" s="67" t="s">
        <v>450</v>
      </c>
      <c r="B15" s="45" t="s">
        <v>501</v>
      </c>
      <c r="C15" s="45" t="s">
        <v>502</v>
      </c>
      <c r="D15" s="43" t="s">
        <v>359</v>
      </c>
      <c r="E15" s="43" t="s">
        <v>90</v>
      </c>
      <c r="F15" s="45"/>
      <c r="G15" s="45"/>
    </row>
    <row r="16" spans="1:10" ht="21.75" customHeight="1" x14ac:dyDescent="0.35">
      <c r="A16" s="67" t="s">
        <v>450</v>
      </c>
      <c r="B16" s="45" t="s">
        <v>503</v>
      </c>
      <c r="C16" s="45" t="s">
        <v>504</v>
      </c>
      <c r="D16" s="43" t="s">
        <v>505</v>
      </c>
      <c r="E16" s="43" t="s">
        <v>90</v>
      </c>
      <c r="F16" s="45"/>
      <c r="G16" s="45"/>
    </row>
    <row r="17" spans="1:7" ht="21.75" customHeight="1" x14ac:dyDescent="0.35">
      <c r="A17" s="67" t="s">
        <v>450</v>
      </c>
      <c r="B17" s="45" t="s">
        <v>506</v>
      </c>
      <c r="C17" s="45" t="s">
        <v>507</v>
      </c>
      <c r="D17" s="43" t="s">
        <v>359</v>
      </c>
      <c r="E17" s="43" t="s">
        <v>90</v>
      </c>
      <c r="F17" s="45"/>
      <c r="G17" s="45"/>
    </row>
    <row r="18" spans="1:7" ht="21.75" customHeight="1" x14ac:dyDescent="0.35">
      <c r="A18" s="67" t="s">
        <v>450</v>
      </c>
      <c r="B18" s="45" t="s">
        <v>508</v>
      </c>
      <c r="C18" s="45" t="s">
        <v>509</v>
      </c>
      <c r="D18" s="43" t="s">
        <v>344</v>
      </c>
      <c r="E18" s="43" t="s">
        <v>90</v>
      </c>
      <c r="F18" s="45"/>
      <c r="G18" s="45"/>
    </row>
    <row r="19" spans="1:7" ht="21.75" customHeight="1" x14ac:dyDescent="0.35">
      <c r="A19" s="67" t="s">
        <v>450</v>
      </c>
      <c r="B19" s="45" t="s">
        <v>510</v>
      </c>
      <c r="C19" s="45" t="s">
        <v>511</v>
      </c>
      <c r="D19" s="43" t="s">
        <v>359</v>
      </c>
      <c r="E19" s="43" t="s">
        <v>90</v>
      </c>
      <c r="F19" s="45"/>
      <c r="G19" s="45"/>
    </row>
    <row r="20" spans="1:7" ht="21.75" customHeight="1" x14ac:dyDescent="0.35">
      <c r="A20" s="67" t="s">
        <v>450</v>
      </c>
      <c r="B20" s="45" t="s">
        <v>512</v>
      </c>
      <c r="C20" s="45" t="s">
        <v>513</v>
      </c>
      <c r="D20" s="43" t="s">
        <v>359</v>
      </c>
      <c r="E20" s="43" t="s">
        <v>90</v>
      </c>
      <c r="F20" s="45"/>
      <c r="G20" s="45"/>
    </row>
    <row r="21" spans="1:7" ht="21.75" customHeight="1" x14ac:dyDescent="0.35">
      <c r="A21" s="68" t="s">
        <v>458</v>
      </c>
      <c r="B21" s="25" t="s">
        <v>514</v>
      </c>
      <c r="C21" s="25" t="s">
        <v>515</v>
      </c>
      <c r="D21" s="23" t="s">
        <v>344</v>
      </c>
      <c r="E21" s="23" t="s">
        <v>90</v>
      </c>
      <c r="F21" s="25"/>
      <c r="G21" s="25"/>
    </row>
    <row r="22" spans="1:7" ht="21.75" customHeight="1" x14ac:dyDescent="0.35">
      <c r="A22" s="68" t="s">
        <v>458</v>
      </c>
      <c r="B22" s="25" t="s">
        <v>516</v>
      </c>
      <c r="C22" s="25" t="s">
        <v>517</v>
      </c>
      <c r="D22" s="23" t="s">
        <v>344</v>
      </c>
      <c r="E22" s="23" t="s">
        <v>90</v>
      </c>
      <c r="F22" s="25"/>
      <c r="G22" s="25"/>
    </row>
    <row r="23" spans="1:7" ht="21.75" customHeight="1" x14ac:dyDescent="0.35">
      <c r="A23" s="68" t="s">
        <v>458</v>
      </c>
      <c r="B23" s="25" t="s">
        <v>518</v>
      </c>
      <c r="C23" s="25" t="s">
        <v>519</v>
      </c>
      <c r="D23" s="23" t="s">
        <v>359</v>
      </c>
      <c r="E23" s="23" t="s">
        <v>90</v>
      </c>
      <c r="F23" s="25"/>
      <c r="G23" s="25"/>
    </row>
    <row r="24" spans="1:7" ht="21.75" customHeight="1" x14ac:dyDescent="0.35">
      <c r="A24" s="68" t="s">
        <v>458</v>
      </c>
      <c r="B24" s="25" t="s">
        <v>520</v>
      </c>
      <c r="C24" s="25" t="s">
        <v>521</v>
      </c>
      <c r="D24" s="23" t="s">
        <v>359</v>
      </c>
      <c r="E24" s="23" t="s">
        <v>90</v>
      </c>
      <c r="F24" s="25"/>
      <c r="G24" s="25"/>
    </row>
    <row r="25" spans="1:7" ht="21.75" customHeight="1" x14ac:dyDescent="0.35">
      <c r="A25" s="68" t="s">
        <v>458</v>
      </c>
      <c r="B25" s="25" t="s">
        <v>522</v>
      </c>
      <c r="C25" s="25" t="s">
        <v>523</v>
      </c>
      <c r="D25" s="23" t="s">
        <v>359</v>
      </c>
      <c r="E25" s="23" t="s">
        <v>90</v>
      </c>
      <c r="F25" s="25"/>
      <c r="G25" s="25"/>
    </row>
    <row r="26" spans="1:7" ht="21.75" customHeight="1" x14ac:dyDescent="0.35">
      <c r="A26" s="68" t="s">
        <v>458</v>
      </c>
      <c r="B26" s="25" t="s">
        <v>524</v>
      </c>
      <c r="C26" s="25" t="s">
        <v>525</v>
      </c>
      <c r="D26" s="23" t="s">
        <v>359</v>
      </c>
      <c r="E26" s="23" t="s">
        <v>90</v>
      </c>
      <c r="F26" s="25"/>
      <c r="G26" s="25"/>
    </row>
    <row r="27" spans="1:7" ht="21.75" customHeight="1" x14ac:dyDescent="0.35">
      <c r="A27" s="68" t="s">
        <v>458</v>
      </c>
      <c r="B27" s="25" t="s">
        <v>526</v>
      </c>
      <c r="C27" s="25" t="s">
        <v>527</v>
      </c>
      <c r="D27" s="23" t="s">
        <v>359</v>
      </c>
      <c r="E27" s="23" t="s">
        <v>90</v>
      </c>
      <c r="F27" s="25"/>
      <c r="G27" s="25"/>
    </row>
    <row r="28" spans="1:7" ht="21.75" customHeight="1" x14ac:dyDescent="0.35">
      <c r="A28" s="68" t="s">
        <v>458</v>
      </c>
      <c r="B28" s="25" t="s">
        <v>528</v>
      </c>
      <c r="C28" s="25" t="s">
        <v>529</v>
      </c>
      <c r="D28" s="23" t="s">
        <v>359</v>
      </c>
      <c r="E28" s="23" t="s">
        <v>90</v>
      </c>
      <c r="F28" s="25"/>
      <c r="G28" s="25"/>
    </row>
    <row r="29" spans="1:7" ht="21.75" customHeight="1" x14ac:dyDescent="0.35">
      <c r="A29" s="68" t="s">
        <v>458</v>
      </c>
      <c r="B29" s="25" t="s">
        <v>530</v>
      </c>
      <c r="C29" s="25" t="s">
        <v>531</v>
      </c>
      <c r="D29" s="23" t="s">
        <v>359</v>
      </c>
      <c r="E29" s="23" t="s">
        <v>90</v>
      </c>
      <c r="F29" s="25"/>
      <c r="G29" s="25"/>
    </row>
    <row r="30" spans="1:7" ht="21.75" customHeight="1" x14ac:dyDescent="0.35">
      <c r="A30" s="69" t="s">
        <v>465</v>
      </c>
      <c r="B30" s="30" t="s">
        <v>532</v>
      </c>
      <c r="C30" s="30" t="s">
        <v>533</v>
      </c>
      <c r="D30" s="28" t="s">
        <v>359</v>
      </c>
      <c r="E30" s="28" t="s">
        <v>90</v>
      </c>
      <c r="F30" s="30"/>
      <c r="G30" s="30"/>
    </row>
    <row r="31" spans="1:7" ht="21.75" customHeight="1" x14ac:dyDescent="0.35">
      <c r="A31" s="69" t="s">
        <v>465</v>
      </c>
      <c r="B31" s="30" t="s">
        <v>534</v>
      </c>
      <c r="C31" s="30" t="s">
        <v>535</v>
      </c>
      <c r="D31" s="28" t="s">
        <v>344</v>
      </c>
      <c r="E31" s="28" t="s">
        <v>90</v>
      </c>
      <c r="F31" s="30"/>
      <c r="G31" s="30"/>
    </row>
    <row r="32" spans="1:7" ht="21.75" customHeight="1" x14ac:dyDescent="0.35">
      <c r="A32" s="69" t="s">
        <v>465</v>
      </c>
      <c r="B32" s="30" t="s">
        <v>536</v>
      </c>
      <c r="C32" s="30" t="s">
        <v>537</v>
      </c>
      <c r="D32" s="28" t="s">
        <v>344</v>
      </c>
      <c r="E32" s="28" t="s">
        <v>90</v>
      </c>
      <c r="F32" s="30"/>
      <c r="G32" s="30"/>
    </row>
    <row r="33" spans="1:7" ht="21.75" customHeight="1" x14ac:dyDescent="0.35">
      <c r="A33" s="69" t="s">
        <v>465</v>
      </c>
      <c r="B33" s="30" t="s">
        <v>538</v>
      </c>
      <c r="C33" s="30" t="s">
        <v>539</v>
      </c>
      <c r="D33" s="28" t="s">
        <v>359</v>
      </c>
      <c r="E33" s="28" t="s">
        <v>90</v>
      </c>
      <c r="F33" s="30"/>
      <c r="G33" s="30"/>
    </row>
    <row r="34" spans="1:7" ht="21.75" customHeight="1" x14ac:dyDescent="0.35">
      <c r="A34" s="69" t="s">
        <v>465</v>
      </c>
      <c r="B34" s="30" t="s">
        <v>540</v>
      </c>
      <c r="C34" s="30" t="s">
        <v>541</v>
      </c>
      <c r="D34" s="28" t="s">
        <v>359</v>
      </c>
      <c r="E34" s="28" t="s">
        <v>90</v>
      </c>
      <c r="F34" s="30"/>
      <c r="G34" s="30"/>
    </row>
    <row r="35" spans="1:7" ht="21.75" customHeight="1" x14ac:dyDescent="0.35">
      <c r="A35" s="69" t="s">
        <v>465</v>
      </c>
      <c r="B35" s="30" t="s">
        <v>542</v>
      </c>
      <c r="C35" s="30" t="s">
        <v>543</v>
      </c>
      <c r="D35" s="28" t="s">
        <v>359</v>
      </c>
      <c r="E35" s="28" t="s">
        <v>90</v>
      </c>
      <c r="F35" s="30"/>
      <c r="G35" s="30"/>
    </row>
    <row r="36" spans="1:7" ht="21.75" customHeight="1" x14ac:dyDescent="0.35">
      <c r="A36" s="69" t="s">
        <v>465</v>
      </c>
      <c r="B36" s="30" t="s">
        <v>544</v>
      </c>
      <c r="C36" s="30" t="s">
        <v>545</v>
      </c>
      <c r="D36" s="28" t="s">
        <v>359</v>
      </c>
      <c r="E36" s="28" t="s">
        <v>90</v>
      </c>
      <c r="F36" s="30"/>
      <c r="G36" s="30"/>
    </row>
    <row r="37" spans="1:7" ht="21.75" customHeight="1" x14ac:dyDescent="0.35">
      <c r="A37" s="70" t="s">
        <v>473</v>
      </c>
      <c r="B37" s="35" t="s">
        <v>546</v>
      </c>
      <c r="C37" s="35" t="s">
        <v>547</v>
      </c>
      <c r="D37" s="33" t="s">
        <v>344</v>
      </c>
      <c r="E37" s="33" t="s">
        <v>90</v>
      </c>
      <c r="F37" s="35"/>
      <c r="G37" s="35"/>
    </row>
    <row r="38" spans="1:7" ht="21.75" customHeight="1" x14ac:dyDescent="0.35">
      <c r="A38" s="70" t="s">
        <v>473</v>
      </c>
      <c r="B38" s="35" t="s">
        <v>548</v>
      </c>
      <c r="C38" s="35" t="s">
        <v>549</v>
      </c>
      <c r="D38" s="33" t="s">
        <v>292</v>
      </c>
      <c r="E38" s="33" t="s">
        <v>90</v>
      </c>
      <c r="F38" s="35"/>
      <c r="G38" s="35"/>
    </row>
    <row r="39" spans="1:7" ht="21.75" customHeight="1" x14ac:dyDescent="0.35">
      <c r="A39" s="70" t="s">
        <v>473</v>
      </c>
      <c r="B39" s="35" t="s">
        <v>550</v>
      </c>
      <c r="C39" s="35" t="s">
        <v>551</v>
      </c>
      <c r="D39" s="33" t="s">
        <v>359</v>
      </c>
      <c r="E39" s="33" t="s">
        <v>90</v>
      </c>
      <c r="F39" s="35"/>
      <c r="G39" s="35"/>
    </row>
    <row r="40" spans="1:7" ht="21.75" customHeight="1" x14ac:dyDescent="0.35">
      <c r="A40" s="70" t="s">
        <v>473</v>
      </c>
      <c r="B40" s="35" t="s">
        <v>552</v>
      </c>
      <c r="C40" s="35" t="s">
        <v>553</v>
      </c>
      <c r="D40" s="33" t="s">
        <v>359</v>
      </c>
      <c r="E40" s="33" t="s">
        <v>90</v>
      </c>
      <c r="F40" s="35"/>
      <c r="G40" s="35"/>
    </row>
    <row r="41" spans="1:7" ht="21.75" customHeight="1" x14ac:dyDescent="0.35">
      <c r="A41" s="70" t="s">
        <v>473</v>
      </c>
      <c r="B41" s="35" t="s">
        <v>554</v>
      </c>
      <c r="C41" s="35" t="s">
        <v>555</v>
      </c>
      <c r="D41" s="33" t="s">
        <v>359</v>
      </c>
      <c r="E41" s="33" t="s">
        <v>90</v>
      </c>
      <c r="F41" s="35"/>
      <c r="G41" s="35"/>
    </row>
    <row r="42" spans="1:7" ht="21.75" customHeight="1" x14ac:dyDescent="0.35">
      <c r="A42" s="70" t="s">
        <v>473</v>
      </c>
      <c r="B42" s="35" t="s">
        <v>556</v>
      </c>
      <c r="C42" s="35" t="s">
        <v>557</v>
      </c>
      <c r="D42" s="33" t="s">
        <v>344</v>
      </c>
      <c r="E42" s="33" t="s">
        <v>90</v>
      </c>
      <c r="F42" s="35"/>
      <c r="G42" s="35"/>
    </row>
    <row r="43" spans="1:7" ht="21.75" customHeight="1" x14ac:dyDescent="0.35">
      <c r="A43" s="70" t="s">
        <v>473</v>
      </c>
      <c r="B43" s="35" t="s">
        <v>558</v>
      </c>
      <c r="C43" s="35" t="s">
        <v>559</v>
      </c>
      <c r="D43" s="33" t="s">
        <v>359</v>
      </c>
      <c r="E43" s="33" t="s">
        <v>90</v>
      </c>
      <c r="F43" s="35"/>
      <c r="G43" s="35"/>
    </row>
    <row r="44" spans="1:7" ht="21.75" customHeight="1" x14ac:dyDescent="0.35">
      <c r="A44" s="71" t="s">
        <v>480</v>
      </c>
      <c r="B44" s="40" t="s">
        <v>560</v>
      </c>
      <c r="C44" s="40" t="s">
        <v>561</v>
      </c>
      <c r="D44" s="38" t="s">
        <v>359</v>
      </c>
      <c r="E44" s="38" t="s">
        <v>90</v>
      </c>
      <c r="F44" s="40"/>
      <c r="G44" s="40"/>
    </row>
    <row r="45" spans="1:7" ht="21.75" customHeight="1" x14ac:dyDescent="0.35">
      <c r="A45" s="71" t="s">
        <v>480</v>
      </c>
      <c r="B45" s="40" t="s">
        <v>562</v>
      </c>
      <c r="C45" s="40" t="s">
        <v>563</v>
      </c>
      <c r="D45" s="38" t="s">
        <v>344</v>
      </c>
      <c r="E45" s="38" t="s">
        <v>90</v>
      </c>
      <c r="F45" s="40"/>
      <c r="G45" s="40"/>
    </row>
    <row r="46" spans="1:7" ht="21.75" customHeight="1" x14ac:dyDescent="0.35">
      <c r="A46" s="71" t="s">
        <v>480</v>
      </c>
      <c r="B46" s="40" t="s">
        <v>564</v>
      </c>
      <c r="C46" s="40" t="s">
        <v>565</v>
      </c>
      <c r="D46" s="38" t="s">
        <v>344</v>
      </c>
      <c r="E46" s="38" t="s">
        <v>90</v>
      </c>
      <c r="F46" s="40"/>
      <c r="G46" s="40"/>
    </row>
    <row r="47" spans="1:7" ht="21.75" customHeight="1" x14ac:dyDescent="0.35">
      <c r="A47" s="71" t="s">
        <v>480</v>
      </c>
      <c r="B47" s="40" t="s">
        <v>566</v>
      </c>
      <c r="C47" s="40" t="s">
        <v>567</v>
      </c>
      <c r="D47" s="38" t="s">
        <v>359</v>
      </c>
      <c r="E47" s="38" t="s">
        <v>90</v>
      </c>
      <c r="F47" s="40"/>
      <c r="G47" s="40"/>
    </row>
    <row r="48" spans="1:7" ht="21.75" customHeight="1" x14ac:dyDescent="0.35">
      <c r="A48" s="71" t="s">
        <v>480</v>
      </c>
      <c r="B48" s="40" t="s">
        <v>568</v>
      </c>
      <c r="C48" s="40" t="s">
        <v>569</v>
      </c>
      <c r="D48" s="38" t="s">
        <v>344</v>
      </c>
      <c r="E48" s="38" t="s">
        <v>90</v>
      </c>
      <c r="F48" s="40"/>
      <c r="G48" s="40"/>
    </row>
    <row r="49" spans="1:7" ht="21.75" customHeight="1" x14ac:dyDescent="0.35">
      <c r="A49" s="71" t="s">
        <v>480</v>
      </c>
      <c r="B49" s="40" t="s">
        <v>570</v>
      </c>
      <c r="C49" s="40" t="s">
        <v>571</v>
      </c>
      <c r="D49" s="38" t="s">
        <v>505</v>
      </c>
      <c r="E49" s="38" t="s">
        <v>90</v>
      </c>
      <c r="F49" s="40"/>
      <c r="G49" s="40"/>
    </row>
    <row r="50" spans="1:7" ht="21.75" customHeight="1" x14ac:dyDescent="0.35">
      <c r="A50" s="71" t="s">
        <v>480</v>
      </c>
      <c r="B50" s="40" t="s">
        <v>572</v>
      </c>
      <c r="C50" s="40" t="s">
        <v>573</v>
      </c>
      <c r="D50" s="38" t="s">
        <v>359</v>
      </c>
      <c r="E50" s="38" t="s">
        <v>90</v>
      </c>
      <c r="F50" s="40"/>
      <c r="G50" s="40"/>
    </row>
    <row r="51" spans="1:7" ht="21.75" customHeight="1" x14ac:dyDescent="0.35">
      <c r="A51" s="71" t="s">
        <v>480</v>
      </c>
      <c r="B51" s="40" t="s">
        <v>574</v>
      </c>
      <c r="C51" s="40" t="s">
        <v>575</v>
      </c>
      <c r="D51" s="38" t="s">
        <v>359</v>
      </c>
      <c r="E51" s="38" t="s">
        <v>90</v>
      </c>
      <c r="F51" s="40"/>
      <c r="G51" s="40"/>
    </row>
    <row r="52" spans="1:7" ht="21.75" customHeight="1" x14ac:dyDescent="0.35">
      <c r="A52" s="71" t="s">
        <v>480</v>
      </c>
      <c r="B52" s="40" t="s">
        <v>576</v>
      </c>
      <c r="C52" s="40" t="s">
        <v>577</v>
      </c>
      <c r="D52" s="38" t="s">
        <v>344</v>
      </c>
      <c r="E52" s="38" t="s">
        <v>90</v>
      </c>
      <c r="F52" s="40"/>
      <c r="G52" s="40"/>
    </row>
  </sheetData>
  <mergeCells count="2">
    <mergeCell ref="A1:J1"/>
    <mergeCell ref="A9:I9"/>
  </mergeCells>
  <dataValidations count="1">
    <dataValidation type="list" allowBlank="1" sqref="E11:E60" xr:uid="{00000000-0002-0000-0500-000000000000}">
      <formula1>"✅ Done,⏳ In Progress,⬜ 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2"/>
  <sheetViews>
    <sheetView showGridLines="0" topLeftCell="A65" zoomScaleNormal="100" workbookViewId="0">
      <selection sqref="A1:H1"/>
    </sheetView>
  </sheetViews>
  <sheetFormatPr defaultColWidth="8.6328125" defaultRowHeight="14.5" x14ac:dyDescent="0.35"/>
  <cols>
    <col min="1" max="1" width="20" customWidth="1"/>
    <col min="2" max="2" width="38" customWidth="1"/>
    <col min="3" max="4" width="14" customWidth="1"/>
    <col min="5" max="5" width="12" customWidth="1"/>
    <col min="6" max="6" width="18" customWidth="1"/>
    <col min="7" max="7" width="16" customWidth="1"/>
    <col min="8" max="8" width="45" customWidth="1"/>
  </cols>
  <sheetData>
    <row r="1" spans="1:8" ht="31.5" customHeight="1" x14ac:dyDescent="0.35">
      <c r="A1" s="89" t="s">
        <v>578</v>
      </c>
      <c r="B1" s="89"/>
      <c r="C1" s="89"/>
      <c r="D1" s="89"/>
      <c r="E1" s="89"/>
      <c r="F1" s="89"/>
      <c r="G1" s="89"/>
      <c r="H1" s="89"/>
    </row>
    <row r="2" spans="1:8" ht="27.75" customHeight="1" x14ac:dyDescent="0.35">
      <c r="A2" s="62" t="s">
        <v>579</v>
      </c>
      <c r="B2" s="62" t="s">
        <v>580</v>
      </c>
      <c r="C2" s="62" t="s">
        <v>581</v>
      </c>
      <c r="D2" s="62" t="s">
        <v>582</v>
      </c>
      <c r="E2" s="62" t="s">
        <v>20</v>
      </c>
      <c r="F2" s="62" t="s">
        <v>87</v>
      </c>
      <c r="G2" s="62" t="s">
        <v>88</v>
      </c>
      <c r="H2" s="62" t="s">
        <v>583</v>
      </c>
    </row>
    <row r="3" spans="1:8" ht="27.75" customHeight="1" x14ac:dyDescent="0.35">
      <c r="A3" s="23" t="s">
        <v>584</v>
      </c>
      <c r="B3" s="25" t="s">
        <v>585</v>
      </c>
      <c r="C3" s="23" t="s">
        <v>586</v>
      </c>
      <c r="D3" s="23" t="s">
        <v>587</v>
      </c>
      <c r="E3" s="23" t="s">
        <v>292</v>
      </c>
      <c r="F3" s="23" t="s">
        <v>90</v>
      </c>
      <c r="G3" s="25"/>
      <c r="H3" s="25" t="s">
        <v>588</v>
      </c>
    </row>
    <row r="4" spans="1:8" ht="27.75" customHeight="1" x14ac:dyDescent="0.35">
      <c r="A4" s="23" t="s">
        <v>584</v>
      </c>
      <c r="B4" s="25" t="s">
        <v>589</v>
      </c>
      <c r="C4" s="23" t="s">
        <v>586</v>
      </c>
      <c r="D4" s="23" t="s">
        <v>587</v>
      </c>
      <c r="E4" s="23" t="s">
        <v>344</v>
      </c>
      <c r="F4" s="23" t="s">
        <v>90</v>
      </c>
      <c r="G4" s="25"/>
      <c r="H4" s="25" t="s">
        <v>590</v>
      </c>
    </row>
    <row r="5" spans="1:8" ht="27.75" customHeight="1" x14ac:dyDescent="0.35">
      <c r="A5" s="23" t="s">
        <v>584</v>
      </c>
      <c r="B5" s="25" t="s">
        <v>591</v>
      </c>
      <c r="C5" s="23" t="s">
        <v>592</v>
      </c>
      <c r="D5" s="23" t="s">
        <v>593</v>
      </c>
      <c r="E5" s="23" t="s">
        <v>344</v>
      </c>
      <c r="F5" s="23" t="s">
        <v>90</v>
      </c>
      <c r="G5" s="25"/>
      <c r="H5" s="25" t="s">
        <v>594</v>
      </c>
    </row>
    <row r="6" spans="1:8" ht="27.75" customHeight="1" x14ac:dyDescent="0.35">
      <c r="A6" s="23" t="s">
        <v>584</v>
      </c>
      <c r="B6" s="25" t="s">
        <v>595</v>
      </c>
      <c r="C6" s="23" t="s">
        <v>592</v>
      </c>
      <c r="D6" s="23" t="s">
        <v>596</v>
      </c>
      <c r="E6" s="23" t="s">
        <v>359</v>
      </c>
      <c r="F6" s="23" t="s">
        <v>90</v>
      </c>
      <c r="G6" s="25"/>
      <c r="H6" s="25" t="s">
        <v>597</v>
      </c>
    </row>
    <row r="7" spans="1:8" ht="27.75" customHeight="1" x14ac:dyDescent="0.35">
      <c r="A7" s="23" t="s">
        <v>584</v>
      </c>
      <c r="B7" s="25" t="s">
        <v>598</v>
      </c>
      <c r="C7" s="23" t="s">
        <v>599</v>
      </c>
      <c r="D7" s="23" t="s">
        <v>600</v>
      </c>
      <c r="E7" s="23" t="s">
        <v>359</v>
      </c>
      <c r="F7" s="23" t="s">
        <v>90</v>
      </c>
      <c r="G7" s="25"/>
      <c r="H7" s="25" t="s">
        <v>601</v>
      </c>
    </row>
    <row r="8" spans="1:8" ht="27.75" customHeight="1" x14ac:dyDescent="0.35">
      <c r="A8" s="28" t="s">
        <v>602</v>
      </c>
      <c r="B8" s="30" t="s">
        <v>603</v>
      </c>
      <c r="C8" s="28" t="s">
        <v>586</v>
      </c>
      <c r="D8" s="28" t="s">
        <v>604</v>
      </c>
      <c r="E8" s="28" t="s">
        <v>344</v>
      </c>
      <c r="F8" s="28" t="s">
        <v>90</v>
      </c>
      <c r="G8" s="30"/>
      <c r="H8" s="30" t="s">
        <v>605</v>
      </c>
    </row>
    <row r="9" spans="1:8" ht="27.75" customHeight="1" x14ac:dyDescent="0.35">
      <c r="A9" s="28" t="s">
        <v>602</v>
      </c>
      <c r="B9" s="30" t="s">
        <v>606</v>
      </c>
      <c r="C9" s="28" t="s">
        <v>586</v>
      </c>
      <c r="D9" s="28" t="s">
        <v>596</v>
      </c>
      <c r="E9" s="28" t="s">
        <v>344</v>
      </c>
      <c r="F9" s="28" t="s">
        <v>90</v>
      </c>
      <c r="G9" s="30"/>
      <c r="H9" s="30" t="s">
        <v>607</v>
      </c>
    </row>
    <row r="10" spans="1:8" ht="27.75" customHeight="1" x14ac:dyDescent="0.35">
      <c r="A10" s="28" t="s">
        <v>602</v>
      </c>
      <c r="B10" s="30" t="s">
        <v>608</v>
      </c>
      <c r="C10" s="28" t="s">
        <v>592</v>
      </c>
      <c r="D10" s="28" t="s">
        <v>600</v>
      </c>
      <c r="E10" s="28" t="s">
        <v>344</v>
      </c>
      <c r="F10" s="28" t="s">
        <v>90</v>
      </c>
      <c r="G10" s="30"/>
      <c r="H10" s="30" t="s">
        <v>609</v>
      </c>
    </row>
    <row r="11" spans="1:8" ht="27.75" customHeight="1" x14ac:dyDescent="0.35">
      <c r="A11" s="28" t="s">
        <v>602</v>
      </c>
      <c r="B11" s="30" t="s">
        <v>610</v>
      </c>
      <c r="C11" s="28" t="s">
        <v>599</v>
      </c>
      <c r="D11" s="28" t="s">
        <v>600</v>
      </c>
      <c r="E11" s="28" t="s">
        <v>359</v>
      </c>
      <c r="F11" s="28" t="s">
        <v>90</v>
      </c>
      <c r="G11" s="30"/>
      <c r="H11" s="30" t="s">
        <v>611</v>
      </c>
    </row>
    <row r="12" spans="1:8" ht="27.75" customHeight="1" x14ac:dyDescent="0.35">
      <c r="A12" s="38" t="s">
        <v>612</v>
      </c>
      <c r="B12" s="40" t="s">
        <v>613</v>
      </c>
      <c r="C12" s="38" t="s">
        <v>586</v>
      </c>
      <c r="D12" s="38" t="s">
        <v>614</v>
      </c>
      <c r="E12" s="38" t="s">
        <v>292</v>
      </c>
      <c r="F12" s="38" t="s">
        <v>90</v>
      </c>
      <c r="G12" s="40"/>
      <c r="H12" s="40" t="s">
        <v>615</v>
      </c>
    </row>
    <row r="13" spans="1:8" ht="27.75" customHeight="1" x14ac:dyDescent="0.35">
      <c r="A13" s="38" t="s">
        <v>612</v>
      </c>
      <c r="B13" s="40" t="s">
        <v>616</v>
      </c>
      <c r="C13" s="38" t="s">
        <v>586</v>
      </c>
      <c r="D13" s="38" t="s">
        <v>593</v>
      </c>
      <c r="E13" s="38" t="s">
        <v>292</v>
      </c>
      <c r="F13" s="38" t="s">
        <v>90</v>
      </c>
      <c r="G13" s="40"/>
      <c r="H13" s="40" t="s">
        <v>617</v>
      </c>
    </row>
    <row r="14" spans="1:8" ht="27.75" customHeight="1" x14ac:dyDescent="0.35">
      <c r="A14" s="38" t="s">
        <v>612</v>
      </c>
      <c r="B14" s="40" t="s">
        <v>618</v>
      </c>
      <c r="C14" s="38" t="s">
        <v>586</v>
      </c>
      <c r="D14" s="38" t="s">
        <v>619</v>
      </c>
      <c r="E14" s="38" t="s">
        <v>292</v>
      </c>
      <c r="F14" s="38" t="s">
        <v>90</v>
      </c>
      <c r="G14" s="40"/>
      <c r="H14" s="40" t="s">
        <v>620</v>
      </c>
    </row>
    <row r="15" spans="1:8" ht="27.75" customHeight="1" x14ac:dyDescent="0.35">
      <c r="A15" s="38" t="s">
        <v>612</v>
      </c>
      <c r="B15" s="40" t="s">
        <v>621</v>
      </c>
      <c r="C15" s="38" t="s">
        <v>592</v>
      </c>
      <c r="D15" s="38" t="s">
        <v>596</v>
      </c>
      <c r="E15" s="38" t="s">
        <v>292</v>
      </c>
      <c r="F15" s="38" t="s">
        <v>90</v>
      </c>
      <c r="G15" s="40"/>
      <c r="H15" s="40" t="s">
        <v>622</v>
      </c>
    </row>
    <row r="16" spans="1:8" ht="27.75" customHeight="1" x14ac:dyDescent="0.35">
      <c r="A16" s="38" t="s">
        <v>612</v>
      </c>
      <c r="B16" s="40" t="s">
        <v>623</v>
      </c>
      <c r="C16" s="38" t="s">
        <v>599</v>
      </c>
      <c r="D16" s="38" t="s">
        <v>600</v>
      </c>
      <c r="E16" s="38" t="s">
        <v>344</v>
      </c>
      <c r="F16" s="38" t="s">
        <v>90</v>
      </c>
      <c r="G16" s="40"/>
      <c r="H16" s="40" t="s">
        <v>624</v>
      </c>
    </row>
    <row r="17" spans="1:8" ht="27.75" customHeight="1" x14ac:dyDescent="0.35">
      <c r="A17" s="33" t="s">
        <v>625</v>
      </c>
      <c r="B17" s="35" t="s">
        <v>626</v>
      </c>
      <c r="C17" s="33" t="s">
        <v>586</v>
      </c>
      <c r="D17" s="33" t="s">
        <v>627</v>
      </c>
      <c r="E17" s="33" t="s">
        <v>292</v>
      </c>
      <c r="F17" s="33" t="s">
        <v>90</v>
      </c>
      <c r="G17" s="35"/>
      <c r="H17" s="35" t="s">
        <v>628</v>
      </c>
    </row>
    <row r="18" spans="1:8" ht="27.75" customHeight="1" x14ac:dyDescent="0.35">
      <c r="A18" s="33" t="s">
        <v>625</v>
      </c>
      <c r="B18" s="35" t="s">
        <v>629</v>
      </c>
      <c r="C18" s="33" t="s">
        <v>586</v>
      </c>
      <c r="D18" s="33" t="s">
        <v>593</v>
      </c>
      <c r="E18" s="33" t="s">
        <v>143</v>
      </c>
      <c r="F18" s="33" t="s">
        <v>90</v>
      </c>
      <c r="G18" s="35"/>
      <c r="H18" s="35" t="s">
        <v>630</v>
      </c>
    </row>
    <row r="19" spans="1:8" ht="27.75" customHeight="1" x14ac:dyDescent="0.35">
      <c r="A19" s="33" t="s">
        <v>625</v>
      </c>
      <c r="B19" s="35" t="s">
        <v>631</v>
      </c>
      <c r="C19" s="33" t="s">
        <v>586</v>
      </c>
      <c r="D19" s="33" t="s">
        <v>596</v>
      </c>
      <c r="E19" s="33" t="s">
        <v>344</v>
      </c>
      <c r="F19" s="33" t="s">
        <v>90</v>
      </c>
      <c r="G19" s="35"/>
      <c r="H19" s="35" t="s">
        <v>632</v>
      </c>
    </row>
    <row r="20" spans="1:8" ht="27.75" customHeight="1" x14ac:dyDescent="0.35">
      <c r="A20" s="33" t="s">
        <v>625</v>
      </c>
      <c r="B20" s="35" t="s">
        <v>633</v>
      </c>
      <c r="C20" s="33" t="s">
        <v>592</v>
      </c>
      <c r="D20" s="33" t="s">
        <v>596</v>
      </c>
      <c r="E20" s="33" t="s">
        <v>359</v>
      </c>
      <c r="F20" s="33" t="s">
        <v>90</v>
      </c>
      <c r="G20" s="35"/>
      <c r="H20" s="35" t="s">
        <v>634</v>
      </c>
    </row>
    <row r="21" spans="1:8" ht="27.75" customHeight="1" x14ac:dyDescent="0.35">
      <c r="A21" s="33" t="s">
        <v>625</v>
      </c>
      <c r="B21" s="35" t="s">
        <v>635</v>
      </c>
      <c r="C21" s="33" t="s">
        <v>599</v>
      </c>
      <c r="D21" s="33" t="s">
        <v>600</v>
      </c>
      <c r="E21" s="33" t="s">
        <v>344</v>
      </c>
      <c r="F21" s="33" t="s">
        <v>90</v>
      </c>
      <c r="G21" s="35"/>
      <c r="H21" s="35" t="s">
        <v>636</v>
      </c>
    </row>
    <row r="22" spans="1:8" ht="27.75" customHeight="1" x14ac:dyDescent="0.35">
      <c r="A22" s="43" t="s">
        <v>637</v>
      </c>
      <c r="B22" s="45" t="s">
        <v>638</v>
      </c>
      <c r="C22" s="43" t="s">
        <v>586</v>
      </c>
      <c r="D22" s="43" t="s">
        <v>639</v>
      </c>
      <c r="E22" s="43" t="s">
        <v>134</v>
      </c>
      <c r="F22" s="43" t="s">
        <v>90</v>
      </c>
      <c r="G22" s="45"/>
      <c r="H22" s="45" t="s">
        <v>640</v>
      </c>
    </row>
    <row r="23" spans="1:8" ht="27.75" customHeight="1" x14ac:dyDescent="0.35">
      <c r="A23" s="43" t="s">
        <v>637</v>
      </c>
      <c r="B23" s="45" t="s">
        <v>641</v>
      </c>
      <c r="C23" s="43" t="s">
        <v>586</v>
      </c>
      <c r="D23" s="43" t="s">
        <v>593</v>
      </c>
      <c r="E23" s="43" t="s">
        <v>344</v>
      </c>
      <c r="F23" s="43" t="s">
        <v>90</v>
      </c>
      <c r="G23" s="45"/>
      <c r="H23" s="45" t="s">
        <v>642</v>
      </c>
    </row>
    <row r="24" spans="1:8" ht="27.75" customHeight="1" x14ac:dyDescent="0.35">
      <c r="A24" s="43" t="s">
        <v>637</v>
      </c>
      <c r="B24" s="45" t="s">
        <v>643</v>
      </c>
      <c r="C24" s="43" t="s">
        <v>599</v>
      </c>
      <c r="D24" s="43" t="s">
        <v>600</v>
      </c>
      <c r="E24" s="43" t="s">
        <v>344</v>
      </c>
      <c r="F24" s="43" t="s">
        <v>90</v>
      </c>
      <c r="G24" s="45"/>
      <c r="H24" s="45" t="s">
        <v>644</v>
      </c>
    </row>
    <row r="25" spans="1:8" ht="27.75" customHeight="1" x14ac:dyDescent="0.35">
      <c r="A25" s="43" t="s">
        <v>637</v>
      </c>
      <c r="B25" s="45" t="s">
        <v>645</v>
      </c>
      <c r="C25" s="43" t="s">
        <v>592</v>
      </c>
      <c r="D25" s="43" t="s">
        <v>596</v>
      </c>
      <c r="E25" s="43" t="s">
        <v>292</v>
      </c>
      <c r="F25" s="43" t="s">
        <v>90</v>
      </c>
      <c r="G25" s="45"/>
      <c r="H25" s="45" t="s">
        <v>646</v>
      </c>
    </row>
    <row r="26" spans="1:8" ht="27.75" customHeight="1" x14ac:dyDescent="0.35">
      <c r="A26" s="53" t="s">
        <v>647</v>
      </c>
      <c r="B26" s="55" t="s">
        <v>648</v>
      </c>
      <c r="C26" s="53" t="s">
        <v>586</v>
      </c>
      <c r="D26" s="53" t="s">
        <v>649</v>
      </c>
      <c r="E26" s="53" t="s">
        <v>292</v>
      </c>
      <c r="F26" s="53" t="s">
        <v>90</v>
      </c>
      <c r="G26" s="55"/>
      <c r="H26" s="55" t="s">
        <v>650</v>
      </c>
    </row>
    <row r="27" spans="1:8" ht="27.75" customHeight="1" x14ac:dyDescent="0.35">
      <c r="A27" s="53" t="s">
        <v>647</v>
      </c>
      <c r="B27" s="55" t="s">
        <v>651</v>
      </c>
      <c r="C27" s="53" t="s">
        <v>586</v>
      </c>
      <c r="D27" s="53" t="s">
        <v>593</v>
      </c>
      <c r="E27" s="53" t="s">
        <v>143</v>
      </c>
      <c r="F27" s="53" t="s">
        <v>90</v>
      </c>
      <c r="G27" s="55"/>
      <c r="H27" s="55" t="s">
        <v>652</v>
      </c>
    </row>
    <row r="28" spans="1:8" ht="27.75" customHeight="1" x14ac:dyDescent="0.35">
      <c r="A28" s="53" t="s">
        <v>647</v>
      </c>
      <c r="B28" s="55" t="s">
        <v>653</v>
      </c>
      <c r="C28" s="53" t="s">
        <v>586</v>
      </c>
      <c r="D28" s="53" t="s">
        <v>593</v>
      </c>
      <c r="E28" s="53" t="s">
        <v>143</v>
      </c>
      <c r="F28" s="53" t="s">
        <v>90</v>
      </c>
      <c r="G28" s="55"/>
      <c r="H28" s="55" t="s">
        <v>654</v>
      </c>
    </row>
    <row r="29" spans="1:8" ht="27.75" customHeight="1" x14ac:dyDescent="0.35">
      <c r="A29" s="53" t="s">
        <v>647</v>
      </c>
      <c r="B29" s="55" t="s">
        <v>655</v>
      </c>
      <c r="C29" s="53" t="s">
        <v>592</v>
      </c>
      <c r="D29" s="53" t="s">
        <v>596</v>
      </c>
      <c r="E29" s="53" t="s">
        <v>292</v>
      </c>
      <c r="F29" s="53" t="s">
        <v>90</v>
      </c>
      <c r="G29" s="55"/>
      <c r="H29" s="55" t="s">
        <v>656</v>
      </c>
    </row>
    <row r="30" spans="1:8" ht="27.75" customHeight="1" x14ac:dyDescent="0.35">
      <c r="A30" s="53" t="s">
        <v>647</v>
      </c>
      <c r="B30" s="55" t="s">
        <v>657</v>
      </c>
      <c r="C30" s="53" t="s">
        <v>586</v>
      </c>
      <c r="D30" s="53" t="s">
        <v>658</v>
      </c>
      <c r="E30" s="53" t="s">
        <v>344</v>
      </c>
      <c r="F30" s="53" t="s">
        <v>90</v>
      </c>
      <c r="G30" s="55"/>
      <c r="H30" s="55" t="s">
        <v>659</v>
      </c>
    </row>
    <row r="31" spans="1:8" ht="27.75" customHeight="1" x14ac:dyDescent="0.35">
      <c r="A31" s="23" t="s">
        <v>660</v>
      </c>
      <c r="B31" s="25" t="s">
        <v>661</v>
      </c>
      <c r="C31" s="23" t="s">
        <v>586</v>
      </c>
      <c r="D31" s="23" t="s">
        <v>662</v>
      </c>
      <c r="E31" s="23" t="s">
        <v>344</v>
      </c>
      <c r="F31" s="23" t="s">
        <v>90</v>
      </c>
      <c r="G31" s="25"/>
      <c r="H31" s="25" t="s">
        <v>663</v>
      </c>
    </row>
    <row r="32" spans="1:8" ht="27.75" customHeight="1" x14ac:dyDescent="0.35">
      <c r="A32" s="23" t="s">
        <v>660</v>
      </c>
      <c r="B32" s="25" t="s">
        <v>664</v>
      </c>
      <c r="C32" s="23" t="s">
        <v>586</v>
      </c>
      <c r="D32" s="23" t="s">
        <v>593</v>
      </c>
      <c r="E32" s="23" t="s">
        <v>344</v>
      </c>
      <c r="F32" s="23" t="s">
        <v>90</v>
      </c>
      <c r="G32" s="25"/>
      <c r="H32" s="25" t="s">
        <v>665</v>
      </c>
    </row>
    <row r="33" spans="1:8" ht="27.75" customHeight="1" x14ac:dyDescent="0.35">
      <c r="A33" s="23" t="s">
        <v>660</v>
      </c>
      <c r="B33" s="25" t="s">
        <v>666</v>
      </c>
      <c r="C33" s="23" t="s">
        <v>586</v>
      </c>
      <c r="D33" s="23" t="s">
        <v>593</v>
      </c>
      <c r="E33" s="23" t="s">
        <v>344</v>
      </c>
      <c r="F33" s="23" t="s">
        <v>90</v>
      </c>
      <c r="G33" s="25"/>
      <c r="H33" s="25" t="s">
        <v>667</v>
      </c>
    </row>
    <row r="34" spans="1:8" ht="27.75" customHeight="1" x14ac:dyDescent="0.35">
      <c r="A34" s="23" t="s">
        <v>660</v>
      </c>
      <c r="B34" s="25" t="s">
        <v>668</v>
      </c>
      <c r="C34" s="23" t="s">
        <v>586</v>
      </c>
      <c r="D34" s="23" t="s">
        <v>596</v>
      </c>
      <c r="E34" s="23" t="s">
        <v>359</v>
      </c>
      <c r="F34" s="23" t="s">
        <v>90</v>
      </c>
      <c r="G34" s="25"/>
      <c r="H34" s="25" t="s">
        <v>669</v>
      </c>
    </row>
    <row r="35" spans="1:8" ht="27.75" customHeight="1" x14ac:dyDescent="0.35">
      <c r="A35" s="23" t="s">
        <v>660</v>
      </c>
      <c r="B35" s="25" t="s">
        <v>670</v>
      </c>
      <c r="C35" s="23" t="s">
        <v>586</v>
      </c>
      <c r="D35" s="23" t="s">
        <v>593</v>
      </c>
      <c r="E35" s="23" t="s">
        <v>344</v>
      </c>
      <c r="F35" s="23" t="s">
        <v>90</v>
      </c>
      <c r="G35" s="25"/>
      <c r="H35" s="25" t="s">
        <v>671</v>
      </c>
    </row>
    <row r="36" spans="1:8" ht="27.75" customHeight="1" x14ac:dyDescent="0.35">
      <c r="A36" s="23" t="s">
        <v>660</v>
      </c>
      <c r="B36" s="25" t="s">
        <v>672</v>
      </c>
      <c r="C36" s="23" t="s">
        <v>592</v>
      </c>
      <c r="D36" s="23" t="s">
        <v>596</v>
      </c>
      <c r="E36" s="23" t="s">
        <v>292</v>
      </c>
      <c r="F36" s="23" t="s">
        <v>90</v>
      </c>
      <c r="G36" s="25"/>
      <c r="H36" s="25" t="s">
        <v>673</v>
      </c>
    </row>
    <row r="37" spans="1:8" ht="27.75" customHeight="1" x14ac:dyDescent="0.35">
      <c r="A37" s="28" t="s">
        <v>674</v>
      </c>
      <c r="B37" s="30" t="s">
        <v>675</v>
      </c>
      <c r="C37" s="28" t="s">
        <v>586</v>
      </c>
      <c r="D37" s="28" t="s">
        <v>676</v>
      </c>
      <c r="E37" s="28" t="s">
        <v>344</v>
      </c>
      <c r="F37" s="28" t="s">
        <v>90</v>
      </c>
      <c r="G37" s="30"/>
      <c r="H37" s="30" t="s">
        <v>677</v>
      </c>
    </row>
    <row r="38" spans="1:8" ht="27.75" customHeight="1" x14ac:dyDescent="0.35">
      <c r="A38" s="28" t="s">
        <v>674</v>
      </c>
      <c r="B38" s="30" t="s">
        <v>678</v>
      </c>
      <c r="C38" s="28" t="s">
        <v>586</v>
      </c>
      <c r="D38" s="28" t="s">
        <v>593</v>
      </c>
      <c r="E38" s="28" t="s">
        <v>134</v>
      </c>
      <c r="F38" s="28" t="s">
        <v>90</v>
      </c>
      <c r="G38" s="30"/>
      <c r="H38" s="30" t="s">
        <v>679</v>
      </c>
    </row>
    <row r="39" spans="1:8" ht="27.75" customHeight="1" x14ac:dyDescent="0.35">
      <c r="A39" s="28" t="s">
        <v>674</v>
      </c>
      <c r="B39" s="30" t="s">
        <v>680</v>
      </c>
      <c r="C39" s="28" t="s">
        <v>586</v>
      </c>
      <c r="D39" s="28" t="s">
        <v>596</v>
      </c>
      <c r="E39" s="28" t="s">
        <v>292</v>
      </c>
      <c r="F39" s="28" t="s">
        <v>90</v>
      </c>
      <c r="G39" s="30"/>
      <c r="H39" s="30" t="s">
        <v>681</v>
      </c>
    </row>
    <row r="40" spans="1:8" ht="27.75" customHeight="1" x14ac:dyDescent="0.35">
      <c r="A40" s="28" t="s">
        <v>674</v>
      </c>
      <c r="B40" s="30" t="s">
        <v>682</v>
      </c>
      <c r="C40" s="28" t="s">
        <v>586</v>
      </c>
      <c r="D40" s="28" t="s">
        <v>683</v>
      </c>
      <c r="E40" s="28" t="s">
        <v>344</v>
      </c>
      <c r="F40" s="28" t="s">
        <v>90</v>
      </c>
      <c r="G40" s="30"/>
      <c r="H40" s="30" t="s">
        <v>684</v>
      </c>
    </row>
    <row r="41" spans="1:8" ht="27.75" customHeight="1" x14ac:dyDescent="0.35">
      <c r="A41" s="28" t="s">
        <v>674</v>
      </c>
      <c r="B41" s="30" t="s">
        <v>685</v>
      </c>
      <c r="C41" s="28" t="s">
        <v>592</v>
      </c>
      <c r="D41" s="28" t="s">
        <v>596</v>
      </c>
      <c r="E41" s="28" t="s">
        <v>359</v>
      </c>
      <c r="F41" s="28" t="s">
        <v>90</v>
      </c>
      <c r="G41" s="30"/>
      <c r="H41" s="30" t="s">
        <v>686</v>
      </c>
    </row>
    <row r="42" spans="1:8" ht="27.75" customHeight="1" x14ac:dyDescent="0.35">
      <c r="A42" s="33" t="s">
        <v>687</v>
      </c>
      <c r="B42" s="35" t="s">
        <v>688</v>
      </c>
      <c r="C42" s="33" t="s">
        <v>586</v>
      </c>
      <c r="D42" s="33" t="s">
        <v>689</v>
      </c>
      <c r="E42" s="33" t="s">
        <v>344</v>
      </c>
      <c r="F42" s="33" t="s">
        <v>90</v>
      </c>
      <c r="G42" s="35"/>
      <c r="H42" s="35" t="s">
        <v>690</v>
      </c>
    </row>
    <row r="43" spans="1:8" ht="27.75" customHeight="1" x14ac:dyDescent="0.35">
      <c r="A43" s="33" t="s">
        <v>687</v>
      </c>
      <c r="B43" s="35" t="s">
        <v>691</v>
      </c>
      <c r="C43" s="33" t="s">
        <v>586</v>
      </c>
      <c r="D43" s="33" t="s">
        <v>596</v>
      </c>
      <c r="E43" s="33" t="s">
        <v>344</v>
      </c>
      <c r="F43" s="33" t="s">
        <v>90</v>
      </c>
      <c r="G43" s="35"/>
      <c r="H43" s="35" t="s">
        <v>692</v>
      </c>
    </row>
    <row r="44" spans="1:8" ht="27.75" customHeight="1" x14ac:dyDescent="0.35">
      <c r="A44" s="33" t="s">
        <v>687</v>
      </c>
      <c r="B44" s="35" t="s">
        <v>693</v>
      </c>
      <c r="C44" s="33" t="s">
        <v>592</v>
      </c>
      <c r="D44" s="33" t="s">
        <v>600</v>
      </c>
      <c r="E44" s="33" t="s">
        <v>359</v>
      </c>
      <c r="F44" s="33" t="s">
        <v>90</v>
      </c>
      <c r="G44" s="35"/>
      <c r="H44" s="35" t="s">
        <v>694</v>
      </c>
    </row>
    <row r="45" spans="1:8" ht="27.75" customHeight="1" x14ac:dyDescent="0.35">
      <c r="A45" s="38" t="s">
        <v>695</v>
      </c>
      <c r="B45" s="40" t="s">
        <v>696</v>
      </c>
      <c r="C45" s="38" t="s">
        <v>586</v>
      </c>
      <c r="D45" s="38" t="s">
        <v>697</v>
      </c>
      <c r="E45" s="38" t="s">
        <v>292</v>
      </c>
      <c r="F45" s="38" t="s">
        <v>90</v>
      </c>
      <c r="G45" s="40"/>
      <c r="H45" s="40" t="s">
        <v>698</v>
      </c>
    </row>
    <row r="46" spans="1:8" ht="27.75" customHeight="1" x14ac:dyDescent="0.35">
      <c r="A46" s="38" t="s">
        <v>695</v>
      </c>
      <c r="B46" s="40" t="s">
        <v>699</v>
      </c>
      <c r="C46" s="38" t="s">
        <v>592</v>
      </c>
      <c r="D46" s="38" t="s">
        <v>600</v>
      </c>
      <c r="E46" s="38" t="s">
        <v>344</v>
      </c>
      <c r="F46" s="38" t="s">
        <v>90</v>
      </c>
      <c r="G46" s="40"/>
      <c r="H46" s="40" t="s">
        <v>700</v>
      </c>
    </row>
    <row r="47" spans="1:8" ht="27.75" customHeight="1" x14ac:dyDescent="0.35">
      <c r="A47" s="38" t="s">
        <v>695</v>
      </c>
      <c r="B47" s="40" t="s">
        <v>701</v>
      </c>
      <c r="C47" s="38" t="s">
        <v>592</v>
      </c>
      <c r="D47" s="38" t="s">
        <v>600</v>
      </c>
      <c r="E47" s="38" t="s">
        <v>344</v>
      </c>
      <c r="F47" s="38" t="s">
        <v>90</v>
      </c>
      <c r="G47" s="40"/>
      <c r="H47" s="40" t="s">
        <v>702</v>
      </c>
    </row>
    <row r="48" spans="1:8" ht="27.75" customHeight="1" x14ac:dyDescent="0.35">
      <c r="A48" s="38" t="s">
        <v>695</v>
      </c>
      <c r="B48" s="40" t="s">
        <v>703</v>
      </c>
      <c r="C48" s="38" t="s">
        <v>592</v>
      </c>
      <c r="D48" s="38" t="s">
        <v>600</v>
      </c>
      <c r="E48" s="38" t="s">
        <v>344</v>
      </c>
      <c r="F48" s="38" t="s">
        <v>90</v>
      </c>
      <c r="G48" s="40"/>
      <c r="H48" s="40" t="s">
        <v>704</v>
      </c>
    </row>
    <row r="49" spans="1:8" ht="27.75" customHeight="1" x14ac:dyDescent="0.35">
      <c r="A49" s="43" t="s">
        <v>705</v>
      </c>
      <c r="B49" s="45" t="s">
        <v>706</v>
      </c>
      <c r="C49" s="43" t="s">
        <v>586</v>
      </c>
      <c r="D49" s="43" t="s">
        <v>707</v>
      </c>
      <c r="E49" s="43" t="s">
        <v>143</v>
      </c>
      <c r="F49" s="43" t="s">
        <v>90</v>
      </c>
      <c r="G49" s="45"/>
      <c r="H49" s="45" t="s">
        <v>708</v>
      </c>
    </row>
    <row r="50" spans="1:8" ht="27.75" customHeight="1" x14ac:dyDescent="0.35">
      <c r="A50" s="43" t="s">
        <v>705</v>
      </c>
      <c r="B50" s="45" t="s">
        <v>709</v>
      </c>
      <c r="C50" s="43" t="s">
        <v>586</v>
      </c>
      <c r="D50" s="43" t="s">
        <v>710</v>
      </c>
      <c r="E50" s="43" t="s">
        <v>344</v>
      </c>
      <c r="F50" s="43" t="s">
        <v>90</v>
      </c>
      <c r="G50" s="45"/>
      <c r="H50" s="45" t="s">
        <v>711</v>
      </c>
    </row>
    <row r="51" spans="1:8" ht="27.75" customHeight="1" x14ac:dyDescent="0.35">
      <c r="A51" s="43" t="s">
        <v>705</v>
      </c>
      <c r="B51" s="45" t="s">
        <v>712</v>
      </c>
      <c r="C51" s="43" t="s">
        <v>599</v>
      </c>
      <c r="D51" s="43" t="s">
        <v>600</v>
      </c>
      <c r="E51" s="43" t="s">
        <v>344</v>
      </c>
      <c r="F51" s="43" t="s">
        <v>90</v>
      </c>
      <c r="G51" s="45"/>
      <c r="H51" s="45" t="s">
        <v>713</v>
      </c>
    </row>
    <row r="52" spans="1:8" ht="27.75" customHeight="1" x14ac:dyDescent="0.35">
      <c r="A52" s="43" t="s">
        <v>705</v>
      </c>
      <c r="B52" s="45" t="s">
        <v>714</v>
      </c>
      <c r="C52" s="43" t="s">
        <v>586</v>
      </c>
      <c r="D52" s="43" t="s">
        <v>715</v>
      </c>
      <c r="E52" s="43" t="s">
        <v>292</v>
      </c>
      <c r="F52" s="43" t="s">
        <v>90</v>
      </c>
      <c r="G52" s="45"/>
      <c r="H52" s="45" t="s">
        <v>716</v>
      </c>
    </row>
    <row r="53" spans="1:8" ht="27.75" customHeight="1" x14ac:dyDescent="0.35">
      <c r="A53" s="48" t="s">
        <v>717</v>
      </c>
      <c r="B53" s="50" t="s">
        <v>718</v>
      </c>
      <c r="C53" s="48" t="s">
        <v>586</v>
      </c>
      <c r="D53" s="48" t="s">
        <v>719</v>
      </c>
      <c r="E53" s="48" t="s">
        <v>143</v>
      </c>
      <c r="F53" s="48" t="s">
        <v>90</v>
      </c>
      <c r="G53" s="50"/>
      <c r="H53" s="50" t="s">
        <v>720</v>
      </c>
    </row>
    <row r="54" spans="1:8" ht="27.75" customHeight="1" x14ac:dyDescent="0.35">
      <c r="A54" s="48" t="s">
        <v>717</v>
      </c>
      <c r="B54" s="50" t="s">
        <v>721</v>
      </c>
      <c r="C54" s="48" t="s">
        <v>586</v>
      </c>
      <c r="D54" s="48" t="s">
        <v>593</v>
      </c>
      <c r="E54" s="48" t="s">
        <v>292</v>
      </c>
      <c r="F54" s="48" t="s">
        <v>90</v>
      </c>
      <c r="G54" s="50"/>
      <c r="H54" s="50" t="s">
        <v>722</v>
      </c>
    </row>
    <row r="55" spans="1:8" ht="27.75" customHeight="1" x14ac:dyDescent="0.35">
      <c r="A55" s="48" t="s">
        <v>717</v>
      </c>
      <c r="B55" s="50" t="s">
        <v>723</v>
      </c>
      <c r="C55" s="48" t="s">
        <v>592</v>
      </c>
      <c r="D55" s="48" t="s">
        <v>596</v>
      </c>
      <c r="E55" s="48" t="s">
        <v>344</v>
      </c>
      <c r="F55" s="48" t="s">
        <v>90</v>
      </c>
      <c r="G55" s="50"/>
      <c r="H55" s="50" t="s">
        <v>724</v>
      </c>
    </row>
    <row r="56" spans="1:8" ht="27.75" customHeight="1" x14ac:dyDescent="0.35">
      <c r="A56" s="48" t="s">
        <v>717</v>
      </c>
      <c r="B56" s="50" t="s">
        <v>725</v>
      </c>
      <c r="C56" s="48" t="s">
        <v>586</v>
      </c>
      <c r="D56" s="48" t="s">
        <v>596</v>
      </c>
      <c r="E56" s="48" t="s">
        <v>292</v>
      </c>
      <c r="F56" s="48" t="s">
        <v>90</v>
      </c>
      <c r="G56" s="50"/>
      <c r="H56" s="50" t="s">
        <v>724</v>
      </c>
    </row>
    <row r="57" spans="1:8" ht="27.75" customHeight="1" x14ac:dyDescent="0.35">
      <c r="A57" s="48" t="s">
        <v>717</v>
      </c>
      <c r="B57" s="50" t="s">
        <v>726</v>
      </c>
      <c r="C57" s="48" t="s">
        <v>599</v>
      </c>
      <c r="D57" s="48" t="s">
        <v>600</v>
      </c>
      <c r="E57" s="48" t="s">
        <v>344</v>
      </c>
      <c r="F57" s="48" t="s">
        <v>90</v>
      </c>
      <c r="G57" s="50"/>
      <c r="H57" s="50" t="s">
        <v>727</v>
      </c>
    </row>
    <row r="58" spans="1:8" ht="27.75" customHeight="1" x14ac:dyDescent="0.35">
      <c r="A58" s="53" t="s">
        <v>728</v>
      </c>
      <c r="B58" s="55" t="s">
        <v>729</v>
      </c>
      <c r="C58" s="53" t="s">
        <v>586</v>
      </c>
      <c r="D58" s="53" t="s">
        <v>730</v>
      </c>
      <c r="E58" s="53" t="s">
        <v>143</v>
      </c>
      <c r="F58" s="53" t="s">
        <v>90</v>
      </c>
      <c r="G58" s="55"/>
      <c r="H58" s="55" t="s">
        <v>731</v>
      </c>
    </row>
    <row r="59" spans="1:8" ht="27.75" customHeight="1" x14ac:dyDescent="0.35">
      <c r="A59" s="53" t="s">
        <v>728</v>
      </c>
      <c r="B59" s="55" t="s">
        <v>732</v>
      </c>
      <c r="C59" s="53" t="s">
        <v>586</v>
      </c>
      <c r="D59" s="53" t="s">
        <v>593</v>
      </c>
      <c r="E59" s="53" t="s">
        <v>292</v>
      </c>
      <c r="F59" s="53" t="s">
        <v>90</v>
      </c>
      <c r="G59" s="55"/>
      <c r="H59" s="55" t="s">
        <v>733</v>
      </c>
    </row>
    <row r="60" spans="1:8" ht="27.75" customHeight="1" x14ac:dyDescent="0.35">
      <c r="A60" s="53" t="s">
        <v>728</v>
      </c>
      <c r="B60" s="55" t="s">
        <v>734</v>
      </c>
      <c r="C60" s="53" t="s">
        <v>592</v>
      </c>
      <c r="D60" s="53" t="s">
        <v>596</v>
      </c>
      <c r="E60" s="53" t="s">
        <v>344</v>
      </c>
      <c r="F60" s="53" t="s">
        <v>90</v>
      </c>
      <c r="G60" s="55"/>
      <c r="H60" s="55" t="s">
        <v>735</v>
      </c>
    </row>
    <row r="61" spans="1:8" ht="27.75" customHeight="1" x14ac:dyDescent="0.35">
      <c r="A61" s="53" t="s">
        <v>728</v>
      </c>
      <c r="B61" s="55" t="s">
        <v>736</v>
      </c>
      <c r="C61" s="53" t="s">
        <v>592</v>
      </c>
      <c r="D61" s="53" t="s">
        <v>596</v>
      </c>
      <c r="E61" s="53" t="s">
        <v>292</v>
      </c>
      <c r="F61" s="53" t="s">
        <v>90</v>
      </c>
      <c r="G61" s="55"/>
      <c r="H61" s="55" t="s">
        <v>733</v>
      </c>
    </row>
    <row r="62" spans="1:8" ht="27.75" customHeight="1" x14ac:dyDescent="0.35">
      <c r="A62" s="53" t="s">
        <v>728</v>
      </c>
      <c r="B62" s="55" t="s">
        <v>737</v>
      </c>
      <c r="C62" s="53" t="s">
        <v>599</v>
      </c>
      <c r="D62" s="53" t="s">
        <v>600</v>
      </c>
      <c r="E62" s="53" t="s">
        <v>292</v>
      </c>
      <c r="F62" s="53" t="s">
        <v>90</v>
      </c>
      <c r="G62" s="55"/>
      <c r="H62" s="55" t="s">
        <v>738</v>
      </c>
    </row>
  </sheetData>
  <mergeCells count="1">
    <mergeCell ref="A1:H1"/>
  </mergeCells>
  <dataValidations count="1">
    <dataValidation type="list" allowBlank="1" sqref="F3:F100" xr:uid="{00000000-0002-0000-0600-000000000000}">
      <formula1>"✅ Mastered,⏳ In Progress,🔄 Needs Review,⬜ 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showGridLines="0" tabSelected="1" topLeftCell="A10" zoomScaleNormal="100" workbookViewId="0">
      <selection activeCell="N6" sqref="N6"/>
    </sheetView>
  </sheetViews>
  <sheetFormatPr defaultColWidth="8.6328125" defaultRowHeight="14.5" x14ac:dyDescent="0.35"/>
  <cols>
    <col min="1" max="1" width="19.6328125" bestFit="1" customWidth="1"/>
    <col min="2" max="2" width="10.36328125" bestFit="1" customWidth="1"/>
    <col min="3" max="4" width="11.1796875" bestFit="1" customWidth="1"/>
    <col min="5" max="10" width="10.36328125" bestFit="1" customWidth="1"/>
    <col min="11" max="11" width="11.36328125" bestFit="1" customWidth="1"/>
  </cols>
  <sheetData>
    <row r="1" spans="1:12" ht="31.5" customHeight="1" x14ac:dyDescent="0.35">
      <c r="A1" s="94" t="s">
        <v>739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36" customHeight="1" x14ac:dyDescent="0.35">
      <c r="A2" s="72" t="s">
        <v>740</v>
      </c>
      <c r="B2" s="72" t="s">
        <v>741</v>
      </c>
      <c r="C2" s="72" t="s">
        <v>742</v>
      </c>
      <c r="D2" s="72" t="s">
        <v>743</v>
      </c>
      <c r="E2" s="72" t="s">
        <v>744</v>
      </c>
      <c r="F2" s="72" t="s">
        <v>745</v>
      </c>
      <c r="G2" s="72" t="s">
        <v>746</v>
      </c>
      <c r="H2" s="72" t="s">
        <v>747</v>
      </c>
      <c r="I2" s="72" t="s">
        <v>748</v>
      </c>
      <c r="J2" s="72" t="s">
        <v>749</v>
      </c>
      <c r="K2" s="72" t="s">
        <v>750</v>
      </c>
    </row>
    <row r="3" spans="1:12" ht="27.75" customHeight="1" x14ac:dyDescent="0.35">
      <c r="A3" s="73" t="s">
        <v>751</v>
      </c>
      <c r="B3" s="74" t="s">
        <v>27</v>
      </c>
      <c r="C3" s="74" t="s">
        <v>36</v>
      </c>
      <c r="D3" s="74" t="s">
        <v>36</v>
      </c>
      <c r="E3" s="74" t="s">
        <v>36</v>
      </c>
      <c r="F3" s="74" t="s">
        <v>36</v>
      </c>
      <c r="G3" s="74" t="s">
        <v>36</v>
      </c>
      <c r="H3" s="74" t="s">
        <v>36</v>
      </c>
      <c r="I3" s="74" t="s">
        <v>73</v>
      </c>
      <c r="J3" s="74" t="s">
        <v>73</v>
      </c>
      <c r="K3" s="75" t="s">
        <v>752</v>
      </c>
    </row>
    <row r="4" spans="1:12" ht="27.75" customHeight="1" x14ac:dyDescent="0.35">
      <c r="A4" s="73" t="s">
        <v>753</v>
      </c>
      <c r="B4" s="76" t="s">
        <v>754</v>
      </c>
      <c r="C4" s="76" t="s">
        <v>755</v>
      </c>
      <c r="D4" s="76" t="s">
        <v>756</v>
      </c>
      <c r="E4" s="76" t="s">
        <v>757</v>
      </c>
      <c r="F4" s="76" t="s">
        <v>757</v>
      </c>
      <c r="G4" s="76" t="s">
        <v>757</v>
      </c>
      <c r="H4" s="76" t="s">
        <v>758</v>
      </c>
      <c r="I4" s="76" t="s">
        <v>758</v>
      </c>
      <c r="J4" s="76" t="s">
        <v>758</v>
      </c>
      <c r="K4" s="75" t="s">
        <v>759</v>
      </c>
    </row>
    <row r="5" spans="1:12" ht="27.75" customHeight="1" x14ac:dyDescent="0.35">
      <c r="A5" s="73" t="s">
        <v>18</v>
      </c>
      <c r="B5" s="74" t="s">
        <v>760</v>
      </c>
      <c r="C5" s="74" t="s">
        <v>761</v>
      </c>
      <c r="D5" s="74" t="s">
        <v>762</v>
      </c>
      <c r="E5" s="74" t="s">
        <v>763</v>
      </c>
      <c r="F5" s="74" t="s">
        <v>763</v>
      </c>
      <c r="G5" s="74" t="s">
        <v>762</v>
      </c>
      <c r="H5" s="74" t="s">
        <v>762</v>
      </c>
      <c r="I5" s="74" t="s">
        <v>762</v>
      </c>
      <c r="J5" s="74" t="s">
        <v>762</v>
      </c>
      <c r="K5" s="75" t="s">
        <v>764</v>
      </c>
    </row>
    <row r="6" spans="1:12" ht="27.75" customHeight="1" x14ac:dyDescent="0.35">
      <c r="A6" s="73" t="s">
        <v>765</v>
      </c>
      <c r="B6" s="76" t="s">
        <v>760</v>
      </c>
      <c r="C6" s="76" t="s">
        <v>760</v>
      </c>
      <c r="D6" s="76" t="s">
        <v>761</v>
      </c>
      <c r="E6" s="76" t="s">
        <v>762</v>
      </c>
      <c r="F6" s="76" t="s">
        <v>763</v>
      </c>
      <c r="G6" s="76" t="s">
        <v>766</v>
      </c>
      <c r="H6" s="76" t="s">
        <v>766</v>
      </c>
      <c r="I6" s="76" t="s">
        <v>766</v>
      </c>
      <c r="J6" s="76" t="s">
        <v>767</v>
      </c>
      <c r="K6" s="75" t="s">
        <v>768</v>
      </c>
    </row>
    <row r="7" spans="1:12" ht="27.75" customHeight="1" x14ac:dyDescent="0.35">
      <c r="A7" s="73" t="s">
        <v>769</v>
      </c>
      <c r="B7" s="74" t="s">
        <v>760</v>
      </c>
      <c r="C7" s="74" t="s">
        <v>760</v>
      </c>
      <c r="D7" s="74" t="s">
        <v>760</v>
      </c>
      <c r="E7" s="74" t="s">
        <v>760</v>
      </c>
      <c r="F7" s="74" t="s">
        <v>760</v>
      </c>
      <c r="G7" s="74" t="s">
        <v>761</v>
      </c>
      <c r="H7" s="74" t="s">
        <v>770</v>
      </c>
      <c r="I7" s="74" t="s">
        <v>762</v>
      </c>
      <c r="J7" s="74" t="s">
        <v>767</v>
      </c>
      <c r="K7" s="75" t="s">
        <v>771</v>
      </c>
    </row>
    <row r="8" spans="1:12" ht="27.75" customHeight="1" x14ac:dyDescent="0.35">
      <c r="A8" s="73" t="s">
        <v>20</v>
      </c>
      <c r="B8" s="76" t="s">
        <v>772</v>
      </c>
      <c r="C8" s="76" t="s">
        <v>773</v>
      </c>
      <c r="D8" s="76" t="s">
        <v>773</v>
      </c>
      <c r="E8" s="76" t="s">
        <v>773</v>
      </c>
      <c r="F8" s="76" t="s">
        <v>773</v>
      </c>
      <c r="G8" s="76" t="s">
        <v>772</v>
      </c>
      <c r="H8" s="76" t="s">
        <v>772</v>
      </c>
      <c r="I8" s="76" t="s">
        <v>774</v>
      </c>
      <c r="J8" s="76" t="s">
        <v>775</v>
      </c>
      <c r="K8" s="75" t="s">
        <v>776</v>
      </c>
    </row>
    <row r="9" spans="1:12" ht="27.75" customHeight="1" x14ac:dyDescent="0.35">
      <c r="A9" s="73" t="s">
        <v>777</v>
      </c>
      <c r="B9" s="74" t="s">
        <v>27</v>
      </c>
      <c r="C9" s="74" t="s">
        <v>73</v>
      </c>
      <c r="D9" s="74" t="s">
        <v>36</v>
      </c>
      <c r="E9" s="74" t="s">
        <v>778</v>
      </c>
      <c r="F9" s="74" t="s">
        <v>779</v>
      </c>
      <c r="G9" s="74" t="s">
        <v>780</v>
      </c>
      <c r="H9" s="74" t="s">
        <v>781</v>
      </c>
      <c r="I9" s="74" t="s">
        <v>782</v>
      </c>
      <c r="J9" s="74" t="s">
        <v>783</v>
      </c>
      <c r="K9" s="75" t="s">
        <v>784</v>
      </c>
    </row>
    <row r="10" spans="1:12" ht="27.75" customHeight="1" x14ac:dyDescent="0.35">
      <c r="A10" s="73" t="s">
        <v>23</v>
      </c>
      <c r="B10" s="76" t="s">
        <v>785</v>
      </c>
      <c r="C10" s="76" t="s">
        <v>785</v>
      </c>
      <c r="D10" s="76" t="s">
        <v>785</v>
      </c>
      <c r="E10" s="76" t="s">
        <v>785</v>
      </c>
      <c r="F10" s="76" t="s">
        <v>785</v>
      </c>
      <c r="G10" s="76" t="s">
        <v>785</v>
      </c>
      <c r="H10" s="76" t="s">
        <v>785</v>
      </c>
      <c r="I10" s="76" t="s">
        <v>760</v>
      </c>
      <c r="J10" s="76" t="s">
        <v>760</v>
      </c>
      <c r="K10" s="75" t="s">
        <v>786</v>
      </c>
    </row>
    <row r="11" spans="1:12" ht="27.75" customHeight="1" x14ac:dyDescent="0.35">
      <c r="A11" s="73" t="s">
        <v>787</v>
      </c>
      <c r="B11" s="74" t="s">
        <v>778</v>
      </c>
      <c r="C11" s="74" t="s">
        <v>778</v>
      </c>
      <c r="D11" s="74" t="s">
        <v>36</v>
      </c>
      <c r="E11" s="74" t="s">
        <v>73</v>
      </c>
      <c r="F11" s="74" t="s">
        <v>73</v>
      </c>
      <c r="G11" s="74" t="s">
        <v>27</v>
      </c>
      <c r="H11" s="74" t="s">
        <v>27</v>
      </c>
      <c r="I11" s="74" t="s">
        <v>27</v>
      </c>
      <c r="J11" s="74" t="s">
        <v>27</v>
      </c>
      <c r="K11" s="75" t="s">
        <v>788</v>
      </c>
    </row>
    <row r="12" spans="1:12" ht="27.75" customHeight="1" x14ac:dyDescent="0.35">
      <c r="A12" s="73" t="s">
        <v>789</v>
      </c>
      <c r="B12" s="76" t="s">
        <v>73</v>
      </c>
      <c r="C12" s="76" t="s">
        <v>36</v>
      </c>
      <c r="D12" s="76" t="s">
        <v>778</v>
      </c>
      <c r="E12" s="76" t="s">
        <v>778</v>
      </c>
      <c r="F12" s="76" t="s">
        <v>36</v>
      </c>
      <c r="G12" s="76" t="s">
        <v>36</v>
      </c>
      <c r="H12" s="76" t="s">
        <v>36</v>
      </c>
      <c r="I12" s="76" t="s">
        <v>73</v>
      </c>
      <c r="J12" s="76" t="s">
        <v>27</v>
      </c>
      <c r="K12" s="75" t="s">
        <v>790</v>
      </c>
    </row>
    <row r="13" spans="1:12" ht="27.75" customHeight="1" x14ac:dyDescent="0.35">
      <c r="A13" s="73" t="s">
        <v>791</v>
      </c>
      <c r="B13" s="74" t="s">
        <v>760</v>
      </c>
      <c r="C13" s="74" t="s">
        <v>760</v>
      </c>
      <c r="D13" s="74" t="s">
        <v>785</v>
      </c>
      <c r="E13" s="74" t="s">
        <v>792</v>
      </c>
      <c r="F13" s="74" t="s">
        <v>793</v>
      </c>
      <c r="G13" s="74" t="s">
        <v>794</v>
      </c>
      <c r="H13" s="74" t="s">
        <v>27</v>
      </c>
      <c r="I13" s="74" t="s">
        <v>27</v>
      </c>
      <c r="J13" s="74" t="s">
        <v>27</v>
      </c>
      <c r="K13" s="75" t="s">
        <v>795</v>
      </c>
    </row>
    <row r="14" spans="1:12" ht="27.75" customHeight="1" x14ac:dyDescent="0.35">
      <c r="A14" s="73" t="s">
        <v>796</v>
      </c>
      <c r="B14" s="76" t="s">
        <v>27</v>
      </c>
      <c r="C14" s="76" t="s">
        <v>73</v>
      </c>
      <c r="D14" s="76" t="s">
        <v>73</v>
      </c>
      <c r="E14" s="76" t="s">
        <v>73</v>
      </c>
      <c r="F14" s="76" t="s">
        <v>27</v>
      </c>
      <c r="G14" s="76" t="s">
        <v>27</v>
      </c>
      <c r="H14" s="76" t="s">
        <v>27</v>
      </c>
      <c r="I14" s="76" t="s">
        <v>27</v>
      </c>
      <c r="J14" s="76" t="s">
        <v>27</v>
      </c>
      <c r="K14" s="75" t="s">
        <v>797</v>
      </c>
    </row>
    <row r="15" spans="1:12" ht="15.75" customHeight="1" x14ac:dyDescent="0.35"/>
    <row r="16" spans="1:12" ht="21.75" customHeight="1" x14ac:dyDescent="0.35">
      <c r="A16" s="95" t="s">
        <v>798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</row>
    <row r="17" spans="1:11" ht="36" customHeight="1" x14ac:dyDescent="0.35">
      <c r="A17" s="64" t="s">
        <v>740</v>
      </c>
      <c r="B17" s="64" t="s">
        <v>741</v>
      </c>
      <c r="C17" s="64" t="s">
        <v>742</v>
      </c>
      <c r="D17" s="64" t="s">
        <v>743</v>
      </c>
      <c r="E17" s="64" t="s">
        <v>744</v>
      </c>
      <c r="F17" s="64" t="s">
        <v>745</v>
      </c>
      <c r="G17" s="64" t="s">
        <v>746</v>
      </c>
      <c r="H17" s="64" t="s">
        <v>747</v>
      </c>
      <c r="I17" s="64" t="s">
        <v>748</v>
      </c>
      <c r="J17" s="64" t="s">
        <v>749</v>
      </c>
      <c r="K17" s="64" t="s">
        <v>750</v>
      </c>
    </row>
    <row r="18" spans="1:11" ht="27.75" customHeight="1" x14ac:dyDescent="0.35">
      <c r="A18" s="73" t="s">
        <v>751</v>
      </c>
      <c r="B18" s="77"/>
      <c r="C18" s="77"/>
      <c r="D18" s="77"/>
      <c r="E18" s="77"/>
      <c r="F18" s="77"/>
      <c r="G18" s="77"/>
      <c r="H18" s="77"/>
      <c r="I18" s="77"/>
      <c r="J18" s="77"/>
      <c r="K18" s="78">
        <f>SUM(B18:J18)</f>
        <v>0</v>
      </c>
    </row>
    <row r="19" spans="1:11" ht="27.75" customHeight="1" x14ac:dyDescent="0.35">
      <c r="A19" s="73" t="s">
        <v>753</v>
      </c>
      <c r="B19" s="77"/>
      <c r="C19" s="77"/>
      <c r="D19" s="77"/>
      <c r="E19" s="77"/>
      <c r="F19" s="77"/>
      <c r="G19" s="77"/>
      <c r="H19" s="77"/>
      <c r="I19" s="77"/>
      <c r="J19" s="77"/>
      <c r="K19" s="78"/>
    </row>
    <row r="20" spans="1:11" ht="27.75" customHeight="1" x14ac:dyDescent="0.35">
      <c r="A20" s="73" t="s">
        <v>18</v>
      </c>
      <c r="B20" s="77"/>
      <c r="C20" s="77"/>
      <c r="D20" s="77"/>
      <c r="E20" s="77"/>
      <c r="F20" s="77"/>
      <c r="G20" s="77"/>
      <c r="H20" s="77"/>
      <c r="I20" s="77"/>
      <c r="J20" s="77"/>
      <c r="K20" s="78">
        <f>SUM(B20:J20)</f>
        <v>0</v>
      </c>
    </row>
    <row r="21" spans="1:11" ht="27.75" customHeight="1" x14ac:dyDescent="0.35">
      <c r="A21" s="73" t="s">
        <v>765</v>
      </c>
      <c r="B21" s="77"/>
      <c r="C21" s="77"/>
      <c r="D21" s="77"/>
      <c r="E21" s="77"/>
      <c r="F21" s="77"/>
      <c r="G21" s="77"/>
      <c r="H21" s="77"/>
      <c r="I21" s="77"/>
      <c r="J21" s="77"/>
      <c r="K21" s="78">
        <f>SUM(B21:J21)</f>
        <v>0</v>
      </c>
    </row>
    <row r="22" spans="1:11" ht="27.75" customHeight="1" x14ac:dyDescent="0.35">
      <c r="A22" s="73" t="s">
        <v>769</v>
      </c>
      <c r="B22" s="77"/>
      <c r="C22" s="77"/>
      <c r="D22" s="77"/>
      <c r="E22" s="77"/>
      <c r="F22" s="77"/>
      <c r="G22" s="77"/>
      <c r="H22" s="77"/>
      <c r="I22" s="77"/>
      <c r="J22" s="77"/>
      <c r="K22" s="78">
        <f>SUM(B22:J22)</f>
        <v>0</v>
      </c>
    </row>
    <row r="23" spans="1:11" ht="27.75" customHeight="1" x14ac:dyDescent="0.35">
      <c r="A23" s="73" t="s">
        <v>20</v>
      </c>
      <c r="B23" s="77"/>
      <c r="C23" s="77"/>
      <c r="D23" s="77"/>
      <c r="E23" s="77"/>
      <c r="F23" s="77"/>
      <c r="G23" s="77"/>
      <c r="H23" s="77"/>
      <c r="I23" s="77"/>
      <c r="J23" s="77"/>
      <c r="K23" s="78"/>
    </row>
    <row r="24" spans="1:11" ht="27.75" customHeight="1" x14ac:dyDescent="0.35">
      <c r="A24" s="73" t="s">
        <v>777</v>
      </c>
      <c r="B24" s="77"/>
      <c r="C24" s="77"/>
      <c r="D24" s="77"/>
      <c r="E24" s="77"/>
      <c r="F24" s="77"/>
      <c r="G24" s="77"/>
      <c r="H24" s="77"/>
      <c r="I24" s="77"/>
      <c r="J24" s="77"/>
      <c r="K24" s="78">
        <f t="shared" ref="K24:K29" si="0">SUM(B24:J24)</f>
        <v>0</v>
      </c>
    </row>
    <row r="25" spans="1:11" ht="27.75" customHeight="1" x14ac:dyDescent="0.35">
      <c r="A25" s="73" t="s">
        <v>23</v>
      </c>
      <c r="B25" s="77"/>
      <c r="C25" s="77"/>
      <c r="D25" s="77"/>
      <c r="E25" s="77"/>
      <c r="F25" s="77"/>
      <c r="G25" s="77"/>
      <c r="H25" s="77"/>
      <c r="I25" s="77"/>
      <c r="J25" s="77"/>
      <c r="K25" s="78">
        <f t="shared" si="0"/>
        <v>0</v>
      </c>
    </row>
    <row r="26" spans="1:11" ht="27.75" customHeight="1" x14ac:dyDescent="0.35">
      <c r="A26" s="73" t="s">
        <v>787</v>
      </c>
      <c r="B26" s="77"/>
      <c r="C26" s="77"/>
      <c r="D26" s="77"/>
      <c r="E26" s="77"/>
      <c r="F26" s="77"/>
      <c r="G26" s="77"/>
      <c r="H26" s="77"/>
      <c r="I26" s="77"/>
      <c r="J26" s="77"/>
      <c r="K26" s="78">
        <f t="shared" si="0"/>
        <v>0</v>
      </c>
    </row>
    <row r="27" spans="1:11" ht="27.75" customHeight="1" x14ac:dyDescent="0.35">
      <c r="A27" s="73" t="s">
        <v>789</v>
      </c>
      <c r="B27" s="77"/>
      <c r="C27" s="77"/>
      <c r="D27" s="77"/>
      <c r="E27" s="77"/>
      <c r="F27" s="77"/>
      <c r="G27" s="77"/>
      <c r="H27" s="77"/>
      <c r="I27" s="77"/>
      <c r="J27" s="77"/>
      <c r="K27" s="78">
        <f t="shared" si="0"/>
        <v>0</v>
      </c>
    </row>
    <row r="28" spans="1:11" ht="27.75" customHeight="1" x14ac:dyDescent="0.35">
      <c r="A28" s="73" t="s">
        <v>791</v>
      </c>
      <c r="B28" s="77"/>
      <c r="C28" s="77"/>
      <c r="D28" s="77"/>
      <c r="E28" s="77"/>
      <c r="F28" s="77"/>
      <c r="G28" s="77"/>
      <c r="H28" s="77"/>
      <c r="I28" s="77"/>
      <c r="J28" s="77"/>
      <c r="K28" s="78">
        <f t="shared" si="0"/>
        <v>0</v>
      </c>
    </row>
    <row r="29" spans="1:11" ht="27.75" customHeight="1" x14ac:dyDescent="0.35">
      <c r="A29" s="73" t="s">
        <v>796</v>
      </c>
      <c r="B29" s="77"/>
      <c r="C29" s="77"/>
      <c r="D29" s="77"/>
      <c r="E29" s="77"/>
      <c r="F29" s="77"/>
      <c r="G29" s="77"/>
      <c r="H29" s="77"/>
      <c r="I29" s="77"/>
      <c r="J29" s="77"/>
      <c r="K29" s="78">
        <f t="shared" si="0"/>
        <v>0</v>
      </c>
    </row>
  </sheetData>
  <mergeCells count="2">
    <mergeCell ref="A1:L1"/>
    <mergeCell ref="A16:K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📅 60-Day Planner</vt:lpstr>
      <vt:lpstr>📋 Applications</vt:lpstr>
      <vt:lpstr>📞 Outreach</vt:lpstr>
      <vt:lpstr>🎯 Interviews</vt:lpstr>
      <vt:lpstr>🚀 Projects</vt:lpstr>
      <vt:lpstr>📚 Study Plan</vt:lpstr>
      <vt:lpstr>📈 Weekly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Daulat Bodle, Pavel</cp:lastModifiedBy>
  <cp:revision>0</cp:revision>
  <dcterms:created xsi:type="dcterms:W3CDTF">2026-05-10T09:51:07Z</dcterms:created>
  <dcterms:modified xsi:type="dcterms:W3CDTF">2026-05-10T10:02:45Z</dcterms:modified>
  <dc:language>en-US</dc:language>
</cp:coreProperties>
</file>