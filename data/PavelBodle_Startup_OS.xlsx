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vel.daulat.bodle\Desktop\Exports\"/>
    </mc:Choice>
  </mc:AlternateContent>
  <xr:revisionPtr revIDLastSave="0" documentId="13_ncr:1_{F7B8D9FA-537C-4810-8BAD-ECBE450ABFD1}" xr6:coauthVersionLast="47" xr6:coauthVersionMax="47" xr10:uidLastSave="{00000000-0000-0000-0000-000000000000}"/>
  <bookViews>
    <workbookView xWindow="-110" yWindow="-110" windowWidth="19420" windowHeight="11500" tabRatio="500" firstSheet="26" activeTab="28" xr2:uid="{00000000-000D-0000-FFFF-FFFF00000000}"/>
  </bookViews>
  <sheets>
    <sheet name="00_README" sheetId="1" r:id="rId1"/>
    <sheet name="01_Founder_Hub" sheetId="2" r:id="rId2"/>
    <sheet name="02_Master_Tasks" sheetId="3" r:id="rId3"/>
    <sheet name="03_Naming" sheetId="4" r:id="rId4"/>
    <sheet name="04_Legal" sheetId="5" r:id="rId5"/>
    <sheet name="05_Product_Roadmap" sheetId="6" r:id="rId6"/>
    <sheet name="06_MVP_Sprint" sheetId="7" r:id="rId7"/>
    <sheet name="07_AI_ML" sheetId="8" r:id="rId8"/>
    <sheet name="08_Engineering" sheetId="9" r:id="rId9"/>
    <sheet name="09_Mobile_App" sheetId="10" r:id="rId10"/>
    <sheet name="10_Web_App" sheetId="11" r:id="rId11"/>
    <sheet name="11_Backend" sheetId="12" r:id="rId12"/>
    <sheet name="12_DevOps" sheetId="13" r:id="rId13"/>
    <sheet name="13_Hiring" sheetId="14" r:id="rId14"/>
    <sheet name="14_Fundraising" sheetId="15" r:id="rId15"/>
    <sheet name="15_Investors" sheetId="16" r:id="rId16"/>
    <sheet name="16_Budget" sheetId="17" r:id="rId17"/>
    <sheet name="17_Revenue" sheetId="18" r:id="rId18"/>
    <sheet name="18_GTM" sheetId="19" r:id="rId19"/>
    <sheet name="19_Content" sheetId="20" r:id="rId20"/>
    <sheet name="20_Feedback" sheetId="21" r:id="rId21"/>
    <sheet name="21_War_Room" sheetId="22" r:id="rId22"/>
    <sheet name="22_KPI_Dashboard" sheetId="23" r:id="rId23"/>
    <sheet name="23_Risk" sheetId="24" r:id="rId24"/>
    <sheet name="24_Meetings" sheetId="25" r:id="rId25"/>
    <sheet name="25_Decisions" sheetId="26" r:id="rId26"/>
    <sheet name="26_SOPs" sheetId="27" r:id="rId27"/>
    <sheet name="27_Competitors" sheetId="28" r:id="rId28"/>
    <sheet name="28_User_Research" sheetId="29" r:id="rId29"/>
    <sheet name="29_Growth_Exp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30" l="1"/>
  <c r="B19" i="30"/>
  <c r="B18" i="30"/>
  <c r="B17" i="30"/>
  <c r="C24" i="23"/>
  <c r="D19" i="23"/>
  <c r="C19" i="23"/>
  <c r="C11" i="23"/>
  <c r="B24" i="21"/>
  <c r="B23" i="21"/>
  <c r="B22" i="21"/>
  <c r="B21" i="21"/>
  <c r="B20" i="21"/>
  <c r="B19" i="21"/>
  <c r="D20" i="19"/>
  <c r="D19" i="19"/>
  <c r="D18" i="19"/>
  <c r="C18" i="19"/>
  <c r="B18" i="19"/>
  <c r="H13" i="19"/>
  <c r="J12" i="19"/>
  <c r="I12" i="19"/>
  <c r="H12" i="19"/>
  <c r="J11" i="19"/>
  <c r="H11" i="19"/>
  <c r="K10" i="19"/>
  <c r="J10" i="19"/>
  <c r="H10" i="19"/>
  <c r="K9" i="19"/>
  <c r="J9" i="19"/>
  <c r="H9" i="19"/>
  <c r="K8" i="19"/>
  <c r="J8" i="19"/>
  <c r="I8" i="19"/>
  <c r="H8" i="19"/>
  <c r="K7" i="19"/>
  <c r="J7" i="19"/>
  <c r="I7" i="19"/>
  <c r="H7" i="19"/>
  <c r="K6" i="19"/>
  <c r="J6" i="19"/>
  <c r="I6" i="19"/>
  <c r="H6" i="19"/>
  <c r="I20" i="18"/>
  <c r="J20" i="18" s="1"/>
  <c r="F20" i="18"/>
  <c r="G20" i="18" s="1"/>
  <c r="I19" i="18"/>
  <c r="J19" i="18" s="1"/>
  <c r="F19" i="18"/>
  <c r="G19" i="18" s="1"/>
  <c r="I18" i="18"/>
  <c r="J18" i="18" s="1"/>
  <c r="F18" i="18"/>
  <c r="G18" i="18" s="1"/>
  <c r="J17" i="18"/>
  <c r="I17" i="18"/>
  <c r="G17" i="18"/>
  <c r="F17" i="18"/>
  <c r="J16" i="18"/>
  <c r="I16" i="18"/>
  <c r="G16" i="18"/>
  <c r="F16" i="18"/>
  <c r="I15" i="18"/>
  <c r="F15" i="18"/>
  <c r="G15" i="18" s="1"/>
  <c r="J15" i="18" s="1"/>
  <c r="B27" i="17"/>
  <c r="B26" i="17"/>
  <c r="B24" i="17"/>
  <c r="B23" i="17"/>
  <c r="B22" i="17"/>
  <c r="H17" i="17"/>
  <c r="G17" i="17"/>
  <c r="F17" i="17"/>
  <c r="E17" i="17"/>
  <c r="D17" i="17"/>
  <c r="C17" i="17"/>
  <c r="K16" i="17"/>
  <c r="J16" i="17"/>
  <c r="L16" i="17" s="1"/>
  <c r="I16" i="17"/>
  <c r="K15" i="17"/>
  <c r="J15" i="17"/>
  <c r="I15" i="17"/>
  <c r="L15" i="17" s="1"/>
  <c r="K14" i="17"/>
  <c r="J14" i="17"/>
  <c r="I14" i="17"/>
  <c r="L14" i="17" s="1"/>
  <c r="K13" i="17"/>
  <c r="J13" i="17"/>
  <c r="I13" i="17"/>
  <c r="L13" i="17" s="1"/>
  <c r="L12" i="17"/>
  <c r="K12" i="17"/>
  <c r="J12" i="17"/>
  <c r="I12" i="17"/>
  <c r="L11" i="17"/>
  <c r="K11" i="17"/>
  <c r="J11" i="17"/>
  <c r="I11" i="17"/>
  <c r="K10" i="17"/>
  <c r="J10" i="17"/>
  <c r="I10" i="17"/>
  <c r="L10" i="17" s="1"/>
  <c r="K9" i="17"/>
  <c r="J9" i="17"/>
  <c r="L9" i="17" s="1"/>
  <c r="I9" i="17"/>
  <c r="K8" i="17"/>
  <c r="K17" i="17" s="1"/>
  <c r="J8" i="17"/>
  <c r="I8" i="17"/>
  <c r="L8" i="17" s="1"/>
  <c r="K7" i="17"/>
  <c r="J7" i="17"/>
  <c r="J17" i="17" s="1"/>
  <c r="I7" i="17"/>
  <c r="B24" i="15"/>
  <c r="B23" i="15"/>
  <c r="B22" i="15"/>
  <c r="B21" i="15"/>
  <c r="B20" i="15"/>
  <c r="B33" i="14"/>
  <c r="B32" i="14"/>
  <c r="B31" i="14"/>
  <c r="B30" i="14"/>
  <c r="B29" i="14"/>
  <c r="B28" i="14"/>
  <c r="B33" i="7"/>
  <c r="B32" i="7"/>
  <c r="B31" i="7"/>
  <c r="B30" i="7"/>
  <c r="B29" i="7"/>
  <c r="I12" i="7"/>
  <c r="I11" i="7"/>
  <c r="I10" i="7"/>
  <c r="I9" i="7"/>
  <c r="I8" i="7"/>
  <c r="I7" i="7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G25" i="2"/>
  <c r="G24" i="2"/>
  <c r="G23" i="2"/>
  <c r="G22" i="2"/>
  <c r="G21" i="2"/>
  <c r="G20" i="2"/>
  <c r="D10" i="2"/>
  <c r="D8" i="2"/>
  <c r="C8" i="2"/>
  <c r="D7" i="2" s="1"/>
  <c r="C7" i="2"/>
  <c r="I17" i="17" l="1"/>
  <c r="L17" i="17" s="1"/>
  <c r="L7" i="17"/>
</calcChain>
</file>

<file path=xl/sharedStrings.xml><?xml version="1.0" encoding="utf-8"?>
<sst xmlns="http://schemas.openxmlformats.org/spreadsheetml/2006/main" count="4467" uniqueCount="2266">
  <si>
    <t>PavelBodle AI Startup Operating System</t>
  </si>
  <si>
    <t>Complete Startup Execution OS — India AI Fintech  |  Idea → MVP Launch</t>
  </si>
  <si>
    <t>© PavelBodle Startup OS  |  India AI Fintech  |  v1.0  |  2026-05-10</t>
  </si>
  <si>
    <t>Sheet Name</t>
  </si>
  <si>
    <t>Purpose</t>
  </si>
  <si>
    <t>Owner</t>
  </si>
  <si>
    <t>WORKSPACE OVERVIEW</t>
  </si>
  <si>
    <t>Startup</t>
  </si>
  <si>
    <t>AI-powered Personal Finance Assistant &amp; Insight Generation Platform</t>
  </si>
  <si>
    <t>Target Market</t>
  </si>
  <si>
    <t>Indian Families &amp; Adults | India-First Fintech AI</t>
  </si>
  <si>
    <t>Platforms</t>
  </si>
  <si>
    <t>Mobile App + Web App</t>
  </si>
  <si>
    <t>Stage</t>
  </si>
  <si>
    <t>Idea → MVP Launch</t>
  </si>
  <si>
    <t>SHEET INDEX</t>
  </si>
  <si>
    <t>00_README</t>
  </si>
  <si>
    <t>This guide — workspace overview &amp; navigation</t>
  </si>
  <si>
    <t>Pavel</t>
  </si>
  <si>
    <t>01_Founder_Hub</t>
  </si>
  <si>
    <t>Founder command center — north-star metrics at a glance</t>
  </si>
  <si>
    <t>02_Master_Tasks</t>
  </si>
  <si>
    <t>PMO-grade task tracker — all work streams</t>
  </si>
  <si>
    <t>03_Naming</t>
  </si>
  <si>
    <t>Startup name ideation &amp; trademark screening</t>
  </si>
  <si>
    <t>04_Legal</t>
  </si>
  <si>
    <t>India-specific fintech legal &amp; compliance tracker</t>
  </si>
  <si>
    <t>Legal Lead</t>
  </si>
  <si>
    <t>05_Product_Roadmap</t>
  </si>
  <si>
    <t>Feature prioritization matrix + release planner</t>
  </si>
  <si>
    <t>CPO</t>
  </si>
  <si>
    <t>06_MVP_Sprint</t>
  </si>
  <si>
    <t>Sprint planning &amp; velocity tracker</t>
  </si>
  <si>
    <t>Eng Lead</t>
  </si>
  <si>
    <t>07_AI_ML</t>
  </si>
  <si>
    <t>AI/ML model tracker + prompt engineering log</t>
  </si>
  <si>
    <t>AI Lead</t>
  </si>
  <si>
    <t>08_Engineering</t>
  </si>
  <si>
    <t>Engineering task board + tech debt tracker</t>
  </si>
  <si>
    <t>09_Mobile_App</t>
  </si>
  <si>
    <t>Mobile feature tracker (Android/iOS)</t>
  </si>
  <si>
    <t>Mobile Lead</t>
  </si>
  <si>
    <t>10_Web_App</t>
  </si>
  <si>
    <t>Web frontend feature tracker</t>
  </si>
  <si>
    <t>Frontend Lead</t>
  </si>
  <si>
    <t>11_Backend</t>
  </si>
  <si>
    <t>Backend &amp; API tracker</t>
  </si>
  <si>
    <t>Backend Lead</t>
  </si>
  <si>
    <t>12_DevOps</t>
  </si>
  <si>
    <t>DevOps, infra, CI/CD tracker</t>
  </si>
  <si>
    <t>DevOps Lead</t>
  </si>
  <si>
    <t>13_Hiring</t>
  </si>
  <si>
    <t>Hiring pipeline + funnel dashboard</t>
  </si>
  <si>
    <t>HR/Founder</t>
  </si>
  <si>
    <t>14_Fundraising</t>
  </si>
  <si>
    <t>Investor CRM + deal pipeline</t>
  </si>
  <si>
    <t>Founder</t>
  </si>
  <si>
    <t>15_Investors</t>
  </si>
  <si>
    <t>Investor research &amp; tracking list</t>
  </si>
  <si>
    <t>16_Budget</t>
  </si>
  <si>
    <t>Budget, burn rate &amp; runway calculator</t>
  </si>
  <si>
    <t>CFO/Founder</t>
  </si>
  <si>
    <t>17_Revenue</t>
  </si>
  <si>
    <t>Revenue model &amp; projections</t>
  </si>
  <si>
    <t>18_GTM</t>
  </si>
  <si>
    <t>Go-to-market campaigns &amp; marketing tracker</t>
  </si>
  <si>
    <t>CMO</t>
  </si>
  <si>
    <t>19_Content</t>
  </si>
  <si>
    <t>Content calendar &amp; social media planner</t>
  </si>
  <si>
    <t>Content Lead</t>
  </si>
  <si>
    <t>20_Feedback</t>
  </si>
  <si>
    <t>User research &amp; customer feedback log</t>
  </si>
  <si>
    <t>PM/UX</t>
  </si>
  <si>
    <t>21_War_Room</t>
  </si>
  <si>
    <t>Launch operations &amp; deployment tracker</t>
  </si>
  <si>
    <t>All Leads</t>
  </si>
  <si>
    <t>22_KPI_Dashboard</t>
  </si>
  <si>
    <t>Live KPI dashboard — investor-ready metrics</t>
  </si>
  <si>
    <t>23_Risk</t>
  </si>
  <si>
    <t>Risk register &amp; mitigation tracker</t>
  </si>
  <si>
    <t>24_Meetings</t>
  </si>
  <si>
    <t>Meeting notes &amp; action items</t>
  </si>
  <si>
    <t>All</t>
  </si>
  <si>
    <t>25_Decisions</t>
  </si>
  <si>
    <t>Decision log — key choices &amp; rationale</t>
  </si>
  <si>
    <t>26_SOPs</t>
  </si>
  <si>
    <t>Standard operating procedures repository</t>
  </si>
  <si>
    <t>Ops Lead</t>
  </si>
  <si>
    <t>27_Competitors</t>
  </si>
  <si>
    <t>Competitive analysis matrix</t>
  </si>
  <si>
    <t>PM/Founder</t>
  </si>
  <si>
    <t>28_User_Research</t>
  </si>
  <si>
    <t>User interviews, personas &amp; insights</t>
  </si>
  <si>
    <t>UX/PM</t>
  </si>
  <si>
    <t>29_Growth_Exp</t>
  </si>
  <si>
    <t>Growth experiments &amp; A/B test tracker</t>
  </si>
  <si>
    <t>Growth Lead</t>
  </si>
  <si>
    <t>💡 TIPS</t>
  </si>
  <si>
    <t>Color Coding</t>
  </si>
  <si>
    <t>🔴 High Priority / Blocked  |  🟡 Medium / In Progress  |  🟢 Low / Done  |  🔵 Info</t>
  </si>
  <si>
    <t>Status Values</t>
  </si>
  <si>
    <t>Not Started → In Progress → Review → Done → Blocked</t>
  </si>
  <si>
    <t>Formulas</t>
  </si>
  <si>
    <t>All KPI cells use live formulas — update source data to auto-refresh dashboards</t>
  </si>
  <si>
    <t>Dropdowns</t>
  </si>
  <si>
    <t>Every Status/Priority/Owner column has a validated dropdown — click the cell</t>
  </si>
  <si>
    <t>Automation</t>
  </si>
  <si>
    <t>Connect Google Apps Script or Zapier to push Slack alerts on status changes</t>
  </si>
  <si>
    <t>Import to GSheets</t>
  </si>
  <si>
    <t>File → Import → Upload this .xlsx → Convert to Google Sheets format</t>
  </si>
  <si>
    <t>PavelBodle  |  Founder Command Center</t>
  </si>
  <si>
    <t>North-Star Metrics · Sprint Status · Burn Rate · Top Risks</t>
  </si>
  <si>
    <t>KEY METRICS — WEEK AT A GLANCE</t>
  </si>
  <si>
    <t>Metric</t>
  </si>
  <si>
    <t>Target</t>
  </si>
  <si>
    <t>Current</t>
  </si>
  <si>
    <t>Δ vs Last Week</t>
  </si>
  <si>
    <t>Status</t>
  </si>
  <si>
    <t>Notes</t>
  </si>
  <si>
    <t>DAU (Daily Active Users)</t>
  </si>
  <si>
    <t>500</t>
  </si>
  <si>
    <t>On Track</t>
  </si>
  <si>
    <t>Targeting 500 by end of month</t>
  </si>
  <si>
    <t>MAU</t>
  </si>
  <si>
    <t>2,000</t>
  </si>
  <si>
    <t>Runway (months)</t>
  </si>
  <si>
    <t>18</t>
  </si>
  <si>
    <t>14</t>
  </si>
  <si>
    <t>-1</t>
  </si>
  <si>
    <t>Watch</t>
  </si>
  <si>
    <t>CFO</t>
  </si>
  <si>
    <t>Fundraising in progress</t>
  </si>
  <si>
    <t>Monthly Burn (₹)</t>
  </si>
  <si>
    <t>₹8L</t>
  </si>
  <si>
    <t>₹7.2L</t>
  </si>
  <si>
    <t>Under budget</t>
  </si>
  <si>
    <t>Sprint Velocity (pts)</t>
  </si>
  <si>
    <t>40</t>
  </si>
  <si>
    <t>36</t>
  </si>
  <si>
    <t>+4</t>
  </si>
  <si>
    <t>Open Critical Bugs</t>
  </si>
  <si>
    <t>0</t>
  </si>
  <si>
    <t>3</t>
  </si>
  <si>
    <t>+1</t>
  </si>
  <si>
    <t>At Risk</t>
  </si>
  <si>
    <t>QA Lead</t>
  </si>
  <si>
    <t>2 in progress</t>
  </si>
  <si>
    <t>AI Model Accuracy</t>
  </si>
  <si>
    <t>90%</t>
  </si>
  <si>
    <t>87%</t>
  </si>
  <si>
    <t>+2%</t>
  </si>
  <si>
    <t>Investor Meetings (MTD)</t>
  </si>
  <si>
    <t>5</t>
  </si>
  <si>
    <t>2 more scheduled</t>
  </si>
  <si>
    <t>Hiring Open Roles</t>
  </si>
  <si>
    <t>8</t>
  </si>
  <si>
    <t>HR</t>
  </si>
  <si>
    <t>NPS Score</t>
  </si>
  <si>
    <t>50+</t>
  </si>
  <si>
    <t>42</t>
  </si>
  <si>
    <t>+3</t>
  </si>
  <si>
    <t>PM</t>
  </si>
  <si>
    <t>Beta feedback</t>
  </si>
  <si>
    <t>SPRINT STATUS</t>
  </si>
  <si>
    <t>Sprint</t>
  </si>
  <si>
    <t>Goal</t>
  </si>
  <si>
    <t>Start</t>
  </si>
  <si>
    <t>End</t>
  </si>
  <si>
    <t>Total Pts</t>
  </si>
  <si>
    <t>Done Pts</t>
  </si>
  <si>
    <t>% Complete</t>
  </si>
  <si>
    <t>Lead</t>
  </si>
  <si>
    <t>Sprint 0</t>
  </si>
  <si>
    <t>Setup &amp; Architecture</t>
  </si>
  <si>
    <t>2025-07-01</t>
  </si>
  <si>
    <t>2025-07-14</t>
  </si>
  <si>
    <t>30</t>
  </si>
  <si>
    <t>Done</t>
  </si>
  <si>
    <t>Completed on time</t>
  </si>
  <si>
    <t>Sprint 1</t>
  </si>
  <si>
    <t>Auth + Onboarding</t>
  </si>
  <si>
    <t>2025-07-15</t>
  </si>
  <si>
    <t>2025-07-28</t>
  </si>
  <si>
    <t>32</t>
  </si>
  <si>
    <t>In Progress</t>
  </si>
  <si>
    <t>2 tasks blocked</t>
  </si>
  <si>
    <t>Sprint 2</t>
  </si>
  <si>
    <t>Expense Tracking MVP</t>
  </si>
  <si>
    <t>2025-07-29</t>
  </si>
  <si>
    <t>2025-08-11</t>
  </si>
  <si>
    <t>45</t>
  </si>
  <si>
    <t>Not Started</t>
  </si>
  <si>
    <t>Sprint 3</t>
  </si>
  <si>
    <t>AI Financial Insights</t>
  </si>
  <si>
    <t>2025-08-12</t>
  </si>
  <si>
    <t>2025-08-25</t>
  </si>
  <si>
    <t>50</t>
  </si>
  <si>
    <t>Sprint 4</t>
  </si>
  <si>
    <t>UPI Integration</t>
  </si>
  <si>
    <t>2025-08-26</t>
  </si>
  <si>
    <t>2025-09-08</t>
  </si>
  <si>
    <t>Sprint 5</t>
  </si>
  <si>
    <t>Beta Launch Prep</t>
  </si>
  <si>
    <t>2025-09-09</t>
  </si>
  <si>
    <t>2025-09-22</t>
  </si>
  <si>
    <t>35</t>
  </si>
  <si>
    <t>TOP 5 RISKS</t>
  </si>
  <si>
    <t>Risk</t>
  </si>
  <si>
    <t>Category</t>
  </si>
  <si>
    <t>Likelihood</t>
  </si>
  <si>
    <t>Impact</t>
  </si>
  <si>
    <t>Score</t>
  </si>
  <si>
    <t>Mitigation</t>
  </si>
  <si>
    <t>RBI sandbox approval delay</t>
  </si>
  <si>
    <t>Legal</t>
  </si>
  <si>
    <t>High</t>
  </si>
  <si>
    <t>Engage RBI consultant early</t>
  </si>
  <si>
    <t>Open</t>
  </si>
  <si>
    <t>Key engineer departure</t>
  </si>
  <si>
    <t>Medium</t>
  </si>
  <si>
    <t>ESOPs + retention plan</t>
  </si>
  <si>
    <t>Mitigating</t>
  </si>
  <si>
    <t>LLM API cost overrun</t>
  </si>
  <si>
    <t>Finance</t>
  </si>
  <si>
    <t>Rate limits + caching layer</t>
  </si>
  <si>
    <t>Data breach / security flaw</t>
  </si>
  <si>
    <t>Security</t>
  </si>
  <si>
    <t>Low</t>
  </si>
  <si>
    <t>Critical</t>
  </si>
  <si>
    <t>Pentest before launch</t>
  </si>
  <si>
    <t>Planned</t>
  </si>
  <si>
    <t>Fundraising timeline slip</t>
  </si>
  <si>
    <t>Parallel angel outreach</t>
  </si>
  <si>
    <t>PavelBodle  |  Master Task Tracker</t>
  </si>
  <si>
    <t>PMO-Grade Task Management — All Workstreams · All Sprints</t>
  </si>
  <si>
    <t>Task ID</t>
  </si>
  <si>
    <t>Task Name</t>
  </si>
  <si>
    <t>Department</t>
  </si>
  <si>
    <t>Priority</t>
  </si>
  <si>
    <t>Progress %</t>
  </si>
  <si>
    <t>Start Date</t>
  </si>
  <si>
    <t>End Date</t>
  </si>
  <si>
    <t>Days Left</t>
  </si>
  <si>
    <t>Dependencies</t>
  </si>
  <si>
    <t>Blockers</t>
  </si>
  <si>
    <t>Est. Hours</t>
  </si>
  <si>
    <t>Act. Hours</t>
  </si>
  <si>
    <t>Est. Cost (₹)</t>
  </si>
  <si>
    <t>Act. Cost (₹)</t>
  </si>
  <si>
    <t>KPI Impact</t>
  </si>
  <si>
    <t>Risk Level</t>
  </si>
  <si>
    <t>Doc Link</t>
  </si>
  <si>
    <t>T-001</t>
  </si>
  <si>
    <t>Setup GitHub repo &amp; branch strategy</t>
  </si>
  <si>
    <t>Engineering</t>
  </si>
  <si>
    <t>Setup</t>
  </si>
  <si>
    <t>1</t>
  </si>
  <si>
    <t>2025-07-02</t>
  </si>
  <si>
    <t>4</t>
  </si>
  <si>
    <t>Dev velocity</t>
  </si>
  <si>
    <t>Completed</t>
  </si>
  <si>
    <t>github.com/repo</t>
  </si>
  <si>
    <t>T-002</t>
  </si>
  <si>
    <t>Design system architecture</t>
  </si>
  <si>
    <t>Design</t>
  </si>
  <si>
    <t>Arch Lead</t>
  </si>
  <si>
    <t>2025-07-05</t>
  </si>
  <si>
    <t>16</t>
  </si>
  <si>
    <t>System stability</t>
  </si>
  <si>
    <t>ADR documented</t>
  </si>
  <si>
    <t>notion.so/arch</t>
  </si>
  <si>
    <t>T-003</t>
  </si>
  <si>
    <t>Figma UI Kit creation</t>
  </si>
  <si>
    <t>UI/UX</t>
  </si>
  <si>
    <t>Designer</t>
  </si>
  <si>
    <t>2025-07-03</t>
  </si>
  <si>
    <t>2025-07-07</t>
  </si>
  <si>
    <t>24</t>
  </si>
  <si>
    <t>20</t>
  </si>
  <si>
    <t>User experience</t>
  </si>
  <si>
    <t>figma.com/kit</t>
  </si>
  <si>
    <t>T-004</t>
  </si>
  <si>
    <t>User auth (OTP + Google SSO)</t>
  </si>
  <si>
    <t>Backend</t>
  </si>
  <si>
    <t>Backend Dev</t>
  </si>
  <si>
    <t>0.6</t>
  </si>
  <si>
    <t>2025-07-20</t>
  </si>
  <si>
    <t>12</t>
  </si>
  <si>
    <t>DAU</t>
  </si>
  <si>
    <t>OTP SMS integration pending</t>
  </si>
  <si>
    <t>T-005</t>
  </si>
  <si>
    <t>Onboarding flow — mobile</t>
  </si>
  <si>
    <t>Mobile</t>
  </si>
  <si>
    <t>Feature</t>
  </si>
  <si>
    <t>Mobile Dev</t>
  </si>
  <si>
    <t>0.4</t>
  </si>
  <si>
    <t>2025-07-21</t>
  </si>
  <si>
    <t>T-003,T-004</t>
  </si>
  <si>
    <t>SMS gateway</t>
  </si>
  <si>
    <t>10</t>
  </si>
  <si>
    <t>Activation rate</t>
  </si>
  <si>
    <t>T-006</t>
  </si>
  <si>
    <t>Expense tracking UI</t>
  </si>
  <si>
    <t>2025-07-22</t>
  </si>
  <si>
    <t>DAU/Engagement</t>
  </si>
  <si>
    <t>T-007</t>
  </si>
  <si>
    <t>AI prompt engineering v1</t>
  </si>
  <si>
    <t>AI/ML</t>
  </si>
  <si>
    <t>AI</t>
  </si>
  <si>
    <t>0.3</t>
  </si>
  <si>
    <t>2025-07-25</t>
  </si>
  <si>
    <t>50000</t>
  </si>
  <si>
    <t>AI accuracy</t>
  </si>
  <si>
    <t>Groq + Gemini Flash</t>
  </si>
  <si>
    <t>notion.so/prompts</t>
  </si>
  <si>
    <t>T-008</t>
  </si>
  <si>
    <t>Razorpay / UPI SDK integration</t>
  </si>
  <si>
    <t>Integration</t>
  </si>
  <si>
    <t>2025-09-05</t>
  </si>
  <si>
    <t>Revenue</t>
  </si>
  <si>
    <t>Need RBI sandbox</t>
  </si>
  <si>
    <t>T-009</t>
  </si>
  <si>
    <t>Privacy policy + T&amp;C drafting</t>
  </si>
  <si>
    <t>2025-07-10</t>
  </si>
  <si>
    <t>25000</t>
  </si>
  <si>
    <t>Compliance</t>
  </si>
  <si>
    <t>Reviewed by lawyer</t>
  </si>
  <si>
    <t>drive.google.com/tc</t>
  </si>
  <si>
    <t>T-010</t>
  </si>
  <si>
    <t>Hire Senior React Native Dev</t>
  </si>
  <si>
    <t>Hiring</t>
  </si>
  <si>
    <t>0.5</t>
  </si>
  <si>
    <t>2025-07-31</t>
  </si>
  <si>
    <t>Negotiation</t>
  </si>
  <si>
    <t>180000</t>
  </si>
  <si>
    <t>3 final candidates</t>
  </si>
  <si>
    <t>T-011</t>
  </si>
  <si>
    <t>App Store developer accounts</t>
  </si>
  <si>
    <t>DevOps</t>
  </si>
  <si>
    <t>2025-07-17</t>
  </si>
  <si>
    <t>8300</t>
  </si>
  <si>
    <t>Launch readiness</t>
  </si>
  <si>
    <t>Apple + Google</t>
  </si>
  <si>
    <t>T-012</t>
  </si>
  <si>
    <t>GenAI insights dashboard — web</t>
  </si>
  <si>
    <t>Web</t>
  </si>
  <si>
    <t>Frontend Dev</t>
  </si>
  <si>
    <t>2025-08-22</t>
  </si>
  <si>
    <t>Engagement</t>
  </si>
  <si>
    <t>T-013</t>
  </si>
  <si>
    <t>Multi-language support (Hindi/Tamil)</t>
  </si>
  <si>
    <t>Full-Stack Dev</t>
  </si>
  <si>
    <t>Retention</t>
  </si>
  <si>
    <t>i18n framework</t>
  </si>
  <si>
    <t>T-014</t>
  </si>
  <si>
    <t>Financial health score algorithm</t>
  </si>
  <si>
    <t>2025-08-08</t>
  </si>
  <si>
    <t>T-015</t>
  </si>
  <si>
    <t>DPIIT Startup India registration</t>
  </si>
  <si>
    <t>0.7</t>
  </si>
  <si>
    <t>5000</t>
  </si>
  <si>
    <t>Fundraising</t>
  </si>
  <si>
    <t>MCA portal</t>
  </si>
  <si>
    <t>Startup Naming Tracker</t>
  </si>
  <si>
    <t>Brand Name Ideation, Screening &amp; Trademark Status</t>
  </si>
  <si>
    <t>Name Idea</t>
  </si>
  <si>
    <t>Meaning / Rationale</t>
  </si>
  <si>
    <t>Domain (.com)</t>
  </si>
  <si>
    <t>Domain (.in)</t>
  </si>
  <si>
    <t>App Store Available</t>
  </si>
  <si>
    <t>Trademark Status</t>
  </si>
  <si>
    <t>Social Handles</t>
  </si>
  <si>
    <t>Score (1-10)</t>
  </si>
  <si>
    <t>FinSaathi</t>
  </si>
  <si>
    <t>Friend in finance (Hindi)</t>
  </si>
  <si>
    <t>Check</t>
  </si>
  <si>
    <t>Available</t>
  </si>
  <si>
    <t>Yes</t>
  </si>
  <si>
    <t>Clear</t>
  </si>
  <si>
    <t>@finsaathi</t>
  </si>
  <si>
    <t>Shortlisted</t>
  </si>
  <si>
    <t>Saathi = companion</t>
  </si>
  <si>
    <t>ArthAI</t>
  </si>
  <si>
    <t>Arth = money/meaning (Sanskrit)</t>
  </si>
  <si>
    <t>Taken</t>
  </si>
  <si>
    <t>Pending Check</t>
  </si>
  <si>
    <t>@arthai_in</t>
  </si>
  <si>
    <t>7</t>
  </si>
  <si>
    <t>Strong brand recall</t>
  </si>
  <si>
    <t>PaisaGuru</t>
  </si>
  <si>
    <t>Paisa = money (Hindi)</t>
  </si>
  <si>
    <t>@paisaguru</t>
  </si>
  <si>
    <t>9</t>
  </si>
  <si>
    <t>Top Pick</t>
  </si>
  <si>
    <t>Broad appeal</t>
  </si>
  <si>
    <t>WealthSaathi</t>
  </si>
  <si>
    <t>Wealth + companion</t>
  </si>
  <si>
    <t>No</t>
  </si>
  <si>
    <t>Pending</t>
  </si>
  <si>
    <t>@wealthsaathi</t>
  </si>
  <si>
    <t>Under Review</t>
  </si>
  <si>
    <t>Longer name</t>
  </si>
  <si>
    <t>FinDost</t>
  </si>
  <si>
    <t>Fin + Dost (friend)</t>
  </si>
  <si>
    <t>@findost</t>
  </si>
  <si>
    <t>Catchy</t>
  </si>
  <si>
    <t>MoneyMitra</t>
  </si>
  <si>
    <t>Money + Mitra (friend)</t>
  </si>
  <si>
    <t>Conflict</t>
  </si>
  <si>
    <t>@moneymitra</t>
  </si>
  <si>
    <t>6</t>
  </si>
  <si>
    <t>Eliminated</t>
  </si>
  <si>
    <t>Trademark conflict</t>
  </si>
  <si>
    <t>NiveshAI</t>
  </si>
  <si>
    <t>Nivesh = investment (Hindi)</t>
  </si>
  <si>
    <t>@niveshai</t>
  </si>
  <si>
    <t>Investment focus</t>
  </si>
  <si>
    <t>SmartKarcha</t>
  </si>
  <si>
    <t>Smart + Karcha (expenses)</t>
  </si>
  <si>
    <t>@smartkarcha</t>
  </si>
  <si>
    <t>Expense-focus angle</t>
  </si>
  <si>
    <t>Legal &amp; Compliance Tracker</t>
  </si>
  <si>
    <t>India Fintech Compliance — MCA · GST · RBI · DPIIT · Data Protection</t>
  </si>
  <si>
    <t>Task</t>
  </si>
  <si>
    <t>Deadline</t>
  </si>
  <si>
    <t>Vendor/Lawyer</t>
  </si>
  <si>
    <t>Dependency</t>
  </si>
  <si>
    <t>MCA Company Incorporation (Pvt Ltd)</t>
  </si>
  <si>
    <t>Company Formation</t>
  </si>
  <si>
    <t>15000</t>
  </si>
  <si>
    <t>CS Firm</t>
  </si>
  <si>
    <t>None</t>
  </si>
  <si>
    <t>CIN obtained</t>
  </si>
  <si>
    <t>GST Registration</t>
  </si>
  <si>
    <t>Tax</t>
  </si>
  <si>
    <t>Self/CA</t>
  </si>
  <si>
    <t>MCA</t>
  </si>
  <si>
    <t>ARN received</t>
  </si>
  <si>
    <t>PAN &amp; TAN for company</t>
  </si>
  <si>
    <t>Self</t>
  </si>
  <si>
    <t>Both obtained</t>
  </si>
  <si>
    <t>DPIIT Startup India Recognition</t>
  </si>
  <si>
    <t>Incentives</t>
  </si>
  <si>
    <t>2025-08-15</t>
  </si>
  <si>
    <t>75% complete</t>
  </si>
  <si>
    <t>Trademark Registration (Brand Name)</t>
  </si>
  <si>
    <t>IP</t>
  </si>
  <si>
    <t>2025-09-01</t>
  </si>
  <si>
    <t>10000</t>
  </si>
  <si>
    <t>IP Lawyer</t>
  </si>
  <si>
    <t>Naming</t>
  </si>
  <si>
    <t>After name finalized</t>
  </si>
  <si>
    <t>Privacy Policy (DPDP Act 2023 compliant)</t>
  </si>
  <si>
    <t>Data Privacy</t>
  </si>
  <si>
    <t>Legal Firm</t>
  </si>
  <si>
    <t>Published on website</t>
  </si>
  <si>
    <t>Terms &amp; Conditions</t>
  </si>
  <si>
    <t>Published</t>
  </si>
  <si>
    <t>RBI NBFC/Payment Aggregator Advisory</t>
  </si>
  <si>
    <t>Regulatory</t>
  </si>
  <si>
    <t>2025-09-30</t>
  </si>
  <si>
    <t>RBI Consultant</t>
  </si>
  <si>
    <t>Pre-application meeting done</t>
  </si>
  <si>
    <t>PCI-DSS Compliance Planning</t>
  </si>
  <si>
    <t>2025-10-01</t>
  </si>
  <si>
    <t>30000</t>
  </si>
  <si>
    <t>Security Firm</t>
  </si>
  <si>
    <t>Pre-assessment needed</t>
  </si>
  <si>
    <t>Cybersecurity Policy (CERT-In)</t>
  </si>
  <si>
    <t>2025-10-15</t>
  </si>
  <si>
    <t>Internal</t>
  </si>
  <si>
    <t>Mandatory for fintech</t>
  </si>
  <si>
    <t>Employment Agreements</t>
  </si>
  <si>
    <t>HR Legal</t>
  </si>
  <si>
    <t>2025-08-01</t>
  </si>
  <si>
    <t>20000</t>
  </si>
  <si>
    <t>Template ready</t>
  </si>
  <si>
    <t>Vendor Contracts (APIs, cloud)</t>
  </si>
  <si>
    <t>Contracts</t>
  </si>
  <si>
    <t>AWS, Twilio, etc.</t>
  </si>
  <si>
    <t>MSME Udyam Registration</t>
  </si>
  <si>
    <t>SEBI IASP Registration (if needed)</t>
  </si>
  <si>
    <t>2026-01-01</t>
  </si>
  <si>
    <t>100000</t>
  </si>
  <si>
    <t>SEBI Consultant</t>
  </si>
  <si>
    <t>RBI</t>
  </si>
  <si>
    <t>Investment advice angle</t>
  </si>
  <si>
    <t>ISO 27001 Planning</t>
  </si>
  <si>
    <t>2026-03-01</t>
  </si>
  <si>
    <t>200000</t>
  </si>
  <si>
    <t>Certification Body</t>
  </si>
  <si>
    <t>Post-MVP</t>
  </si>
  <si>
    <t>Pre-MVP plan</t>
  </si>
  <si>
    <t>Product Roadmap</t>
  </si>
  <si>
    <t>Feature Prioritization Matrix · MVP → V2 · Mobile + Web + Backend</t>
  </si>
  <si>
    <t>Feature Name</t>
  </si>
  <si>
    <t>Feature Type</t>
  </si>
  <si>
    <t>Platform</t>
  </si>
  <si>
    <t>User Impact</t>
  </si>
  <si>
    <t>Complexity</t>
  </si>
  <si>
    <t>Effort (days)</t>
  </si>
  <si>
    <t>Priority Score</t>
  </si>
  <si>
    <t>Design Status</t>
  </si>
  <si>
    <t>Dev Status</t>
  </si>
  <si>
    <t>QA Status</t>
  </si>
  <si>
    <t>Release Version</t>
  </si>
  <si>
    <t>Launch Readiness</t>
  </si>
  <si>
    <t>User Onboarding &amp; KYC</t>
  </si>
  <si>
    <t>Core</t>
  </si>
  <si>
    <t>Mobile + Web</t>
  </si>
  <si>
    <t>v0.1</t>
  </si>
  <si>
    <t>60%</t>
  </si>
  <si>
    <t>Expense Tracking (manual)</t>
  </si>
  <si>
    <t>55%</t>
  </si>
  <si>
    <t>Smart Budget Planner</t>
  </si>
  <si>
    <t>20%</t>
  </si>
  <si>
    <t>AI Financial Assistant (chat)</t>
  </si>
  <si>
    <t>Draft</t>
  </si>
  <si>
    <t>v0.2</t>
  </si>
  <si>
    <t>10%</t>
  </si>
  <si>
    <t>Financial Health Score</t>
  </si>
  <si>
    <t>15</t>
  </si>
  <si>
    <t>UPI Bank Account Linking</t>
  </si>
  <si>
    <t>5%</t>
  </si>
  <si>
    <t>Investment Insights</t>
  </si>
  <si>
    <t>0%</t>
  </si>
  <si>
    <t>Family Finance Dashboard</t>
  </si>
  <si>
    <t>22</t>
  </si>
  <si>
    <t>Full-Stack</t>
  </si>
  <si>
    <t>v0.3</t>
  </si>
  <si>
    <t>Goal Planning</t>
  </si>
  <si>
    <t>Personalized Alerts</t>
  </si>
  <si>
    <t>GenAI Insights Dashboard</t>
  </si>
  <si>
    <t>Voice Assistant</t>
  </si>
  <si>
    <t>25</t>
  </si>
  <si>
    <t>v1.0</t>
  </si>
  <si>
    <t>Multilingual Support (Hi/Ta/Te)</t>
  </si>
  <si>
    <t>Document Analysis (AI)</t>
  </si>
  <si>
    <t>Secure Document Vault</t>
  </si>
  <si>
    <t>MVP Sprint Planner</t>
  </si>
  <si>
    <t>Agile Sprint Tracker · Velocity · Burndown · Backlog</t>
  </si>
  <si>
    <t>SPRINT SUMMARY</t>
  </si>
  <si>
    <t>Capacity (pts)</t>
  </si>
  <si>
    <t>Committed</t>
  </si>
  <si>
    <t>Velocity</t>
  </si>
  <si>
    <t>Setup, Architecture, Legal</t>
  </si>
  <si>
    <t>Auth, Onboarding, Expense UI</t>
  </si>
  <si>
    <t>Budget, Alerts, Backend API</t>
  </si>
  <si>
    <t>AI Engine, Insights Dashboard</t>
  </si>
  <si>
    <t>UPI, Investment, Multilingual</t>
  </si>
  <si>
    <t>Beta Launch Prep, QA, Performance</t>
  </si>
  <si>
    <t>SPRINT BACKLOG — SPRINT 1</t>
  </si>
  <si>
    <t>Story ID</t>
  </si>
  <si>
    <t>User Story</t>
  </si>
  <si>
    <t>Points</t>
  </si>
  <si>
    <t>Day 1</t>
  </si>
  <si>
    <t>Day 2</t>
  </si>
  <si>
    <t>Day 3</t>
  </si>
  <si>
    <t>Day 4</t>
  </si>
  <si>
    <t>Day 5</t>
  </si>
  <si>
    <t>US-001</t>
  </si>
  <si>
    <t>As a user I can register with mobile OTP</t>
  </si>
  <si>
    <t>Completed D3</t>
  </si>
  <si>
    <t>US-002</t>
  </si>
  <si>
    <t>As a user I can log in with Google SSO</t>
  </si>
  <si>
    <t>Completed D2</t>
  </si>
  <si>
    <t>US-003</t>
  </si>
  <si>
    <t>As a user I see onboarding screens</t>
  </si>
  <si>
    <t>90% done</t>
  </si>
  <si>
    <t>US-004</t>
  </si>
  <si>
    <t>As a user I can add manual expense</t>
  </si>
  <si>
    <t>Category picker pending</t>
  </si>
  <si>
    <t>US-005</t>
  </si>
  <si>
    <t>As a user I see expense categories</t>
  </si>
  <si>
    <t>US-006</t>
  </si>
  <si>
    <t>As a user I can set a monthly budget</t>
  </si>
  <si>
    <t>Carry to S2</t>
  </si>
  <si>
    <t>US-007</t>
  </si>
  <si>
    <t>AI prompt: classify expense category</t>
  </si>
  <si>
    <t>Groq API integrated</t>
  </si>
  <si>
    <t>US-008</t>
  </si>
  <si>
    <t>Backend: expense CRUD API</t>
  </si>
  <si>
    <t>US-009</t>
  </si>
  <si>
    <t>Push notification service setup</t>
  </si>
  <si>
    <t>Firebase FCM</t>
  </si>
  <si>
    <t>US-010</t>
  </si>
  <si>
    <t>Analytics event tracking (Mixpanel)</t>
  </si>
  <si>
    <t>2</t>
  </si>
  <si>
    <t>VELOCITY METRICS</t>
  </si>
  <si>
    <t>Average Velocity (pts/sprint)</t>
  </si>
  <si>
    <t>Total Points Committed</t>
  </si>
  <si>
    <t>Total Points Done</t>
  </si>
  <si>
    <t>Overall % Complete</t>
  </si>
  <si>
    <t>Sprints Remaining</t>
  </si>
  <si>
    <t>Estimated MVP Date</t>
  </si>
  <si>
    <t>AI/ML Tracker</t>
  </si>
  <si>
    <t>Models · Prompts · RAG Pipeline · Experiments · Evaluation</t>
  </si>
  <si>
    <t>MODEL REGISTRY</t>
  </si>
  <si>
    <t>Model Name</t>
  </si>
  <si>
    <t>Use Case</t>
  </si>
  <si>
    <t>LLM / API</t>
  </si>
  <si>
    <t>Prompt Ver.</t>
  </si>
  <si>
    <t>Dataset</t>
  </si>
  <si>
    <t>Accuracy</t>
  </si>
  <si>
    <t>Latency (ms)</t>
  </si>
  <si>
    <t>Cost/Req (₹)</t>
  </si>
  <si>
    <t>Eval Score</t>
  </si>
  <si>
    <t>Hallucination Risk</t>
  </si>
  <si>
    <t>Deploy Status</t>
  </si>
  <si>
    <t>Monitoring</t>
  </si>
  <si>
    <t>Feedback Score</t>
  </si>
  <si>
    <t>expense-classifier-v1</t>
  </si>
  <si>
    <t>Classify expense category</t>
  </si>
  <si>
    <t>Groq/Llama3-8b</t>
  </si>
  <si>
    <t>v1.2</t>
  </si>
  <si>
    <t>Internal 5k rows</t>
  </si>
  <si>
    <t>88%</t>
  </si>
  <si>
    <t>320</t>
  </si>
  <si>
    <t>0.02</t>
  </si>
  <si>
    <t>7.5/10</t>
  </si>
  <si>
    <t>Production</t>
  </si>
  <si>
    <t>DataDog</t>
  </si>
  <si>
    <t>4.1/5</t>
  </si>
  <si>
    <t>budget-advisor-v1</t>
  </si>
  <si>
    <t>AI budget recommendations</t>
  </si>
  <si>
    <t>Gemini 2.0 Flash</t>
  </si>
  <si>
    <t>N/A (zero-shot)</t>
  </si>
  <si>
    <t>82%</t>
  </si>
  <si>
    <t>450</t>
  </si>
  <si>
    <t>0.05</t>
  </si>
  <si>
    <t>6.8/10</t>
  </si>
  <si>
    <t>Staging</t>
  </si>
  <si>
    <t>Langfuse</t>
  </si>
  <si>
    <t>3.9/5</t>
  </si>
  <si>
    <t>financial-health-score</t>
  </si>
  <si>
    <t>Compute financial health</t>
  </si>
  <si>
    <t>Custom rule + LLM</t>
  </si>
  <si>
    <t>v0.5</t>
  </si>
  <si>
    <t>50 user profiles</t>
  </si>
  <si>
    <t>79%</t>
  </si>
  <si>
    <t>200</t>
  </si>
  <si>
    <t>0.01</t>
  </si>
  <si>
    <t>6.2/10</t>
  </si>
  <si>
    <t>Dev</t>
  </si>
  <si>
    <t>N/A</t>
  </si>
  <si>
    <t>investment-insight-gen</t>
  </si>
  <si>
    <t>Generate investment insights</t>
  </si>
  <si>
    <t>NSE/BSE data</t>
  </si>
  <si>
    <t>75%</t>
  </si>
  <si>
    <t>600</t>
  </si>
  <si>
    <t>0.08</t>
  </si>
  <si>
    <t>6.0/10</t>
  </si>
  <si>
    <t>multilingual-NLU</t>
  </si>
  <si>
    <t>Hindi/Tamil NLU</t>
  </si>
  <si>
    <t>IndicBERT fine-tune</t>
  </si>
  <si>
    <t>IndicGLUE</t>
  </si>
  <si>
    <t>71%</t>
  </si>
  <si>
    <t>150</t>
  </si>
  <si>
    <t>0.00</t>
  </si>
  <si>
    <t>5.5/10</t>
  </si>
  <si>
    <t>doc-analyzer</t>
  </si>
  <si>
    <t>Analyze financial docs</t>
  </si>
  <si>
    <t>Gemini 2.0 Flash Vision</t>
  </si>
  <si>
    <t>50 sample docs</t>
  </si>
  <si>
    <t>80%</t>
  </si>
  <si>
    <t>1200</t>
  </si>
  <si>
    <t>0.15</t>
  </si>
  <si>
    <t>6.5/10</t>
  </si>
  <si>
    <t>PROMPT ENGINEERING LOG</t>
  </si>
  <si>
    <t>Prompt ID</t>
  </si>
  <si>
    <t>Version</t>
  </si>
  <si>
    <t>Model</t>
  </si>
  <si>
    <t>Technique</t>
  </si>
  <si>
    <t>Tokens (avg)</t>
  </si>
  <si>
    <t>Cost/Run (₹)</t>
  </si>
  <si>
    <t>Evaluation</t>
  </si>
  <si>
    <t>Author</t>
  </si>
  <si>
    <t>Date</t>
  </si>
  <si>
    <t>P-001</t>
  </si>
  <si>
    <t>Expense classification</t>
  </si>
  <si>
    <t>Groq/Llama3</t>
  </si>
  <si>
    <t>Few-shot + CoT</t>
  </si>
  <si>
    <t>420</t>
  </si>
  <si>
    <t>Pass</t>
  </si>
  <si>
    <t>Active</t>
  </si>
  <si>
    <t>Best so far</t>
  </si>
  <si>
    <t>P-002</t>
  </si>
  <si>
    <t>Budget recommendation</t>
  </si>
  <si>
    <t>Gemini Flash</t>
  </si>
  <si>
    <t>Zero-shot</t>
  </si>
  <si>
    <t>350</t>
  </si>
  <si>
    <t>2025-07-18</t>
  </si>
  <si>
    <t>Needs improvement</t>
  </si>
  <si>
    <t>P-003</t>
  </si>
  <si>
    <t>Financial advice generation</t>
  </si>
  <si>
    <t>RAG + prompt</t>
  </si>
  <si>
    <t>800</t>
  </si>
  <si>
    <t>0.12</t>
  </si>
  <si>
    <t>Partial</t>
  </si>
  <si>
    <t>Testing</t>
  </si>
  <si>
    <t>RAG context helps</t>
  </si>
  <si>
    <t>P-004</t>
  </si>
  <si>
    <t>Expense summary narrative</t>
  </si>
  <si>
    <t>Template fill</t>
  </si>
  <si>
    <t>85%</t>
  </si>
  <si>
    <t>High quality output</t>
  </si>
  <si>
    <t>P-005</t>
  </si>
  <si>
    <t>Goal planning assistant</t>
  </si>
  <si>
    <t>Chain-of-thought</t>
  </si>
  <si>
    <t>77%</t>
  </si>
  <si>
    <t>0.09</t>
  </si>
  <si>
    <t>Fail</t>
  </si>
  <si>
    <t>Retired</t>
  </si>
  <si>
    <t>2025-07-12</t>
  </si>
  <si>
    <t>Too generic</t>
  </si>
  <si>
    <t>RAG PIPELINE TRACKER</t>
  </si>
  <si>
    <t>Pipeline Name</t>
  </si>
  <si>
    <t>Data Source</t>
  </si>
  <si>
    <t>Chunking</t>
  </si>
  <si>
    <t>Embedding Model</t>
  </si>
  <si>
    <t>Vector DB</t>
  </si>
  <si>
    <t>Retrieval K</t>
  </si>
  <si>
    <t>Retrieval Score</t>
  </si>
  <si>
    <t>Reranker</t>
  </si>
  <si>
    <t>Response Quality</t>
  </si>
  <si>
    <t>Cost/Mo (₹)</t>
  </si>
  <si>
    <t>Expense Q&amp;A RAG</t>
  </si>
  <si>
    <t>User transaction history</t>
  </si>
  <si>
    <t>512 tokens overlap 50</t>
  </si>
  <si>
    <t>text-embedding-3-small</t>
  </si>
  <si>
    <t>ChromaDB</t>
  </si>
  <si>
    <t>0.82</t>
  </si>
  <si>
    <t>Good</t>
  </si>
  <si>
    <t>Local ChromaDB</t>
  </si>
  <si>
    <t>Financial News RAG</t>
  </si>
  <si>
    <t>NSE/BSE + news feeds</t>
  </si>
  <si>
    <t>1024 tokens</t>
  </si>
  <si>
    <t>FAISS</t>
  </si>
  <si>
    <t>0.75</t>
  </si>
  <si>
    <t>Yes (cohere)</t>
  </si>
  <si>
    <t>Scheduled refresh</t>
  </si>
  <si>
    <t>Document Analysis RAG</t>
  </si>
  <si>
    <t>User uploaded PDFs</t>
  </si>
  <si>
    <t>Page-level</t>
  </si>
  <si>
    <t>Gemini Embedding</t>
  </si>
  <si>
    <t>0.88</t>
  </si>
  <si>
    <t>Excellent</t>
  </si>
  <si>
    <t>Gemini Vision + RAG</t>
  </si>
  <si>
    <t>Engineering Tracker</t>
  </si>
  <si>
    <t>Tech Debt · Architecture Decisions · Code Review · Infra</t>
  </si>
  <si>
    <t>Type</t>
  </si>
  <si>
    <t>Component</t>
  </si>
  <si>
    <t>PR Link</t>
  </si>
  <si>
    <t>Tech Debt Score</t>
  </si>
  <si>
    <t>E-001</t>
  </si>
  <si>
    <t>Setup monorepo (Turborepo)</t>
  </si>
  <si>
    <t>github.com/pr/1</t>
  </si>
  <si>
    <t>Nx considered, chose Turborepo</t>
  </si>
  <si>
    <t>E-002</t>
  </si>
  <si>
    <t>FastAPI backend scaffold</t>
  </si>
  <si>
    <t>API</t>
  </si>
  <si>
    <t>github.com/pr/2</t>
  </si>
  <si>
    <t>Python 3.11, async</t>
  </si>
  <si>
    <t>E-003</t>
  </si>
  <si>
    <t>React Native app scaffold</t>
  </si>
  <si>
    <t>App</t>
  </si>
  <si>
    <t>github.com/pr/3</t>
  </si>
  <si>
    <t>Expo + TypeScript</t>
  </si>
  <si>
    <t>E-004</t>
  </si>
  <si>
    <t>Next.js web scaffold</t>
  </si>
  <si>
    <t>Frontend</t>
  </si>
  <si>
    <t>github.com/pr/4</t>
  </si>
  <si>
    <t>Next 14 App Router</t>
  </si>
  <si>
    <t>E-005</t>
  </si>
  <si>
    <t>PostgreSQL + Redis setup</t>
  </si>
  <si>
    <t>Database</t>
  </si>
  <si>
    <t>github.com/pr/5</t>
  </si>
  <si>
    <t>Supabase managed PG</t>
  </si>
  <si>
    <t>E-006</t>
  </si>
  <si>
    <t>JWT auth middleware</t>
  </si>
  <si>
    <t>github.com/pr/8</t>
  </si>
  <si>
    <t>RS256 tokens</t>
  </si>
  <si>
    <t>E-007</t>
  </si>
  <si>
    <t>Expense API CRUD</t>
  </si>
  <si>
    <t>github.com/pr/9</t>
  </si>
  <si>
    <t>Full REST + validation</t>
  </si>
  <si>
    <t>E-008</t>
  </si>
  <si>
    <t>Refactor expense model (schema v2)</t>
  </si>
  <si>
    <t>Tech Debt</t>
  </si>
  <si>
    <t>V1 schema has nullability issues</t>
  </si>
  <si>
    <t>E-009</t>
  </si>
  <si>
    <t>Add request rate limiting</t>
  </si>
  <si>
    <t>Redis sliding window</t>
  </si>
  <si>
    <t>E-010</t>
  </si>
  <si>
    <t>Unit test coverage to 80%</t>
  </si>
  <si>
    <t>Quality</t>
  </si>
  <si>
    <t>All Devs</t>
  </si>
  <si>
    <t>Currently 34%</t>
  </si>
  <si>
    <t>E-011</t>
  </si>
  <si>
    <t>CI/CD pipeline (GitHub Actions)</t>
  </si>
  <si>
    <t>Infra</t>
  </si>
  <si>
    <t>Deploy to Railway</t>
  </si>
  <si>
    <t>E-012</t>
  </si>
  <si>
    <t>OpenTelemetry instrumentation</t>
  </si>
  <si>
    <t>Observability</t>
  </si>
  <si>
    <t>Traces + metrics</t>
  </si>
  <si>
    <t>Mobile App Tracker</t>
  </si>
  <si>
    <t>React Native · iOS + Android · Feature Status · Build Tracker</t>
  </si>
  <si>
    <t>Feature ID</t>
  </si>
  <si>
    <t>Screen</t>
  </si>
  <si>
    <t>Design Link</t>
  </si>
  <si>
    <t>Build Version</t>
  </si>
  <si>
    <t>Test Status</t>
  </si>
  <si>
    <t>M-001</t>
  </si>
  <si>
    <t>Splash Screen + Logo</t>
  </si>
  <si>
    <t>Splash</t>
  </si>
  <si>
    <t>iOS + Android</t>
  </si>
  <si>
    <t>figma.com/s1</t>
  </si>
  <si>
    <t>0.0.1</t>
  </si>
  <si>
    <t>Passed</t>
  </si>
  <si>
    <t>M-002</t>
  </si>
  <si>
    <t>Onboarding Flow (4 screens)</t>
  </si>
  <si>
    <t>Onboarding</t>
  </si>
  <si>
    <t>figma.com/s2</t>
  </si>
  <si>
    <t>0.1.0</t>
  </si>
  <si>
    <t>M-003</t>
  </si>
  <si>
    <t>OTP Login Screen</t>
  </si>
  <si>
    <t>Auth</t>
  </si>
  <si>
    <t>figma.com/s3</t>
  </si>
  <si>
    <t>M-004</t>
  </si>
  <si>
    <t>Home / Dashboard Screen</t>
  </si>
  <si>
    <t>Home</t>
  </si>
  <si>
    <t>figma.com/s4</t>
  </si>
  <si>
    <t>M-005</t>
  </si>
  <si>
    <t>Add Expense Screen</t>
  </si>
  <si>
    <t>Expense</t>
  </si>
  <si>
    <t>figma.com/s5</t>
  </si>
  <si>
    <t>Category picker WIP</t>
  </si>
  <si>
    <t>M-006</t>
  </si>
  <si>
    <t>Expense List + Filter</t>
  </si>
  <si>
    <t>figma.com/s6</t>
  </si>
  <si>
    <t>M-007</t>
  </si>
  <si>
    <t>Budget Setup Screen</t>
  </si>
  <si>
    <t>Budget</t>
  </si>
  <si>
    <t>figma.com/s7</t>
  </si>
  <si>
    <t>M-008</t>
  </si>
  <si>
    <t>AI Chat Screen</t>
  </si>
  <si>
    <t>figma.com/s8</t>
  </si>
  <si>
    <t>M-009</t>
  </si>
  <si>
    <t>Financial Health Score Card</t>
  </si>
  <si>
    <t>figma.com/s9</t>
  </si>
  <si>
    <t>M-010</t>
  </si>
  <si>
    <t>Goal Planner Screen</t>
  </si>
  <si>
    <t>Goals</t>
  </si>
  <si>
    <t>figma.com/s10</t>
  </si>
  <si>
    <t>M-011</t>
  </si>
  <si>
    <t>Notifications + Alerts</t>
  </si>
  <si>
    <t>Notifications</t>
  </si>
  <si>
    <t>figma.com/s11</t>
  </si>
  <si>
    <t>M-012</t>
  </si>
  <si>
    <t>Profile &amp; Settings</t>
  </si>
  <si>
    <t>Settings</t>
  </si>
  <si>
    <t>figma.com/s12</t>
  </si>
  <si>
    <t>M-013</t>
  </si>
  <si>
    <t>Bank Linking Screen (UPI)</t>
  </si>
  <si>
    <t>Android</t>
  </si>
  <si>
    <t>figma.com/s13</t>
  </si>
  <si>
    <t>Android first</t>
  </si>
  <si>
    <t>M-014</t>
  </si>
  <si>
    <t>Investment Insights Screen</t>
  </si>
  <si>
    <t>Investment</t>
  </si>
  <si>
    <t>figma.com/s14</t>
  </si>
  <si>
    <t>Web App Tracker</t>
  </si>
  <si>
    <t>Next.js 14 · Feature Status · Page Builder · SEO</t>
  </si>
  <si>
    <t>Page/Feature</t>
  </si>
  <si>
    <t>Route</t>
  </si>
  <si>
    <t>SEO Priority</t>
  </si>
  <si>
    <t>Analytics</t>
  </si>
  <si>
    <t>Landing Page</t>
  </si>
  <si>
    <t>/</t>
  </si>
  <si>
    <t>Marketing</t>
  </si>
  <si>
    <t>figma.com/w1</t>
  </si>
  <si>
    <t>GA4 + Hotjar</t>
  </si>
  <si>
    <t>Convert visitors</t>
  </si>
  <si>
    <t>Pricing Page</t>
  </si>
  <si>
    <t>/pricing</t>
  </si>
  <si>
    <t>figma.com/w2</t>
  </si>
  <si>
    <t>GA4</t>
  </si>
  <si>
    <t>Freemium model</t>
  </si>
  <si>
    <t>Auth / Sign In</t>
  </si>
  <si>
    <t>/auth</t>
  </si>
  <si>
    <t>figma.com/w3</t>
  </si>
  <si>
    <t>OTP + Google</t>
  </si>
  <si>
    <t>Dashboard Home</t>
  </si>
  <si>
    <t>/app/dashboard</t>
  </si>
  <si>
    <t>figma.com/w4</t>
  </si>
  <si>
    <t>Mixpanel</t>
  </si>
  <si>
    <t>North-star screen</t>
  </si>
  <si>
    <t>Expense Manager</t>
  </si>
  <si>
    <t>/app/expenses</t>
  </si>
  <si>
    <t>figma.com/w5</t>
  </si>
  <si>
    <t>Tabular + charts</t>
  </si>
  <si>
    <t>Budget Planner</t>
  </si>
  <si>
    <t>/app/budget</t>
  </si>
  <si>
    <t>figma.com/w6</t>
  </si>
  <si>
    <t>AI Insights Dashboard</t>
  </si>
  <si>
    <t>/app/ai</t>
  </si>
  <si>
    <t>figma.com/w7</t>
  </si>
  <si>
    <t>GenAI charts</t>
  </si>
  <si>
    <t>/app/invest</t>
  </si>
  <si>
    <t>figma.com/w8</t>
  </si>
  <si>
    <t>Family Finance Hub</t>
  </si>
  <si>
    <t>/app/family</t>
  </si>
  <si>
    <t>figma.com/w9</t>
  </si>
  <si>
    <t>Multi-user</t>
  </si>
  <si>
    <t>Goals Tracker</t>
  </si>
  <si>
    <t>/app/goals</t>
  </si>
  <si>
    <t>figma.com/w10</t>
  </si>
  <si>
    <t>/app/settings</t>
  </si>
  <si>
    <t>figma.com/w11</t>
  </si>
  <si>
    <t>Blog / Financial Tips</t>
  </si>
  <si>
    <t>/blog</t>
  </si>
  <si>
    <t>GA4 + GSC</t>
  </si>
  <si>
    <t>SEO content</t>
  </si>
  <si>
    <t>Backend &amp; API Tracker</t>
  </si>
  <si>
    <t>FastAPI · PostgreSQL · Redis · Microservices · Integrations</t>
  </si>
  <si>
    <t>API/Service</t>
  </si>
  <si>
    <t>Method</t>
  </si>
  <si>
    <t>Endpoint</t>
  </si>
  <si>
    <t>Auth Required</t>
  </si>
  <si>
    <t>Rate Limit</t>
  </si>
  <si>
    <t>Tested</t>
  </si>
  <si>
    <t>User Registration</t>
  </si>
  <si>
    <t>POST</t>
  </si>
  <si>
    <t>/api/v1/auth/register</t>
  </si>
  <si>
    <t>100/hr</t>
  </si>
  <si>
    <t>OTP triggered</t>
  </si>
  <si>
    <t>User Login (OTP verify)</t>
  </si>
  <si>
    <t>/api/v1/auth/verify-otp</t>
  </si>
  <si>
    <t>50/hr</t>
  </si>
  <si>
    <t>JWT returned</t>
  </si>
  <si>
    <t>Google OAuth</t>
  </si>
  <si>
    <t>GET</t>
  </si>
  <si>
    <t>/api/v1/auth/google</t>
  </si>
  <si>
    <t>Get User Profile</t>
  </si>
  <si>
    <t>/api/v1/user/profile</t>
  </si>
  <si>
    <t>200/hr</t>
  </si>
  <si>
    <t>Create Expense</t>
  </si>
  <si>
    <t>/api/v1/expenses</t>
  </si>
  <si>
    <t>500/hr</t>
  </si>
  <si>
    <t>List Expenses</t>
  </si>
  <si>
    <t>Pagination+filter</t>
  </si>
  <si>
    <t>Update Expense</t>
  </si>
  <si>
    <t>PATCH</t>
  </si>
  <si>
    <t>/api/v1/expenses/{id}</t>
  </si>
  <si>
    <t>Delete Expense</t>
  </si>
  <si>
    <t>DELETE</t>
  </si>
  <si>
    <t>Soft delete</t>
  </si>
  <si>
    <t>AI Chat Endpoint</t>
  </si>
  <si>
    <t>/api/v1/ai/chat</t>
  </si>
  <si>
    <t>30/hr</t>
  </si>
  <si>
    <t>LangChain router</t>
  </si>
  <si>
    <t>/api/v1/ai/health-score</t>
  </si>
  <si>
    <t>UPI Bank Link (Plaid-like)</t>
  </si>
  <si>
    <t>/api/v1/banking/link</t>
  </si>
  <si>
    <t>10/hr</t>
  </si>
  <si>
    <t>RBI sandbox needed</t>
  </si>
  <si>
    <t>Get Investment Data</t>
  </si>
  <si>
    <t>/api/v1/invest/insights</t>
  </si>
  <si>
    <t>NSE/BSE feed</t>
  </si>
  <si>
    <t>Create Budget</t>
  </si>
  <si>
    <t>/api/v1/budget</t>
  </si>
  <si>
    <t>Get Notifications</t>
  </si>
  <si>
    <t>/api/v1/notifications</t>
  </si>
  <si>
    <t>FCM webhook</t>
  </si>
  <si>
    <t>DevOps Tracker</t>
  </si>
  <si>
    <t>CI/CD · Infrastructure · Monitoring · Security · Cloud</t>
  </si>
  <si>
    <t>Environment</t>
  </si>
  <si>
    <t>Tool/Service</t>
  </si>
  <si>
    <t>Uptime SLA</t>
  </si>
  <si>
    <t>GitHub Actions CI pipeline</t>
  </si>
  <si>
    <t>CI/CD</t>
  </si>
  <si>
    <t>GitHub Actions</t>
  </si>
  <si>
    <t>Build + test on PR</t>
  </si>
  <si>
    <t>Railway backend deployment</t>
  </si>
  <si>
    <t>Deploy</t>
  </si>
  <si>
    <t>Railway.app</t>
  </si>
  <si>
    <t>2000</t>
  </si>
  <si>
    <t>99.5%</t>
  </si>
  <si>
    <t>FastAPI auto-deploy</t>
  </si>
  <si>
    <t>Vercel web deployment</t>
  </si>
  <si>
    <t>Vercel</t>
  </si>
  <si>
    <t>99.9%</t>
  </si>
  <si>
    <t>Next.js auto-deploy</t>
  </si>
  <si>
    <t>Supabase PostgreSQL</t>
  </si>
  <si>
    <t>Supabase</t>
  </si>
  <si>
    <t>Free tier 500MB</t>
  </si>
  <si>
    <t>Redis (Upstash)</t>
  </si>
  <si>
    <t>Cache</t>
  </si>
  <si>
    <t>Upstash</t>
  </si>
  <si>
    <t>Serverless Redis free</t>
  </si>
  <si>
    <t>AWS S3 (document storage)</t>
  </si>
  <si>
    <t>Storage</t>
  </si>
  <si>
    <t>AWS S3</t>
  </si>
  <si>
    <t>400</t>
  </si>
  <si>
    <t>5GB free tier</t>
  </si>
  <si>
    <t>DataDog APM</t>
  </si>
  <si>
    <t>Free tier 5 hosts</t>
  </si>
  <si>
    <t>Sentry error tracking</t>
  </si>
  <si>
    <t>Sentry</t>
  </si>
  <si>
    <t>Free 5K events/mo</t>
  </si>
  <si>
    <t>Expo EAS Build (mobile)</t>
  </si>
  <si>
    <t>Expo EAS</t>
  </si>
  <si>
    <t>Free 30 builds/mo</t>
  </si>
  <si>
    <t>Cloudflare CDN + WAF</t>
  </si>
  <si>
    <t>Cloudflare</t>
  </si>
  <si>
    <t>99.99%</t>
  </si>
  <si>
    <t>Free plan</t>
  </si>
  <si>
    <t>GitHub Dependabot</t>
  </si>
  <si>
    <t>GitHub</t>
  </si>
  <si>
    <t>Auto-dependency updates</t>
  </si>
  <si>
    <t>Backup strategy (DB + S3)</t>
  </si>
  <si>
    <t>Backup</t>
  </si>
  <si>
    <t>Supabase + S3</t>
  </si>
  <si>
    <t>Daily automated backups</t>
  </si>
  <si>
    <t>Load testing (k6)</t>
  </si>
  <si>
    <t>Performance</t>
  </si>
  <si>
    <t>k6</t>
  </si>
  <si>
    <t>100 concurrent users</t>
  </si>
  <si>
    <t>SSL certificates</t>
  </si>
  <si>
    <t>Let's Encrypt</t>
  </si>
  <si>
    <t>Auto-renewed</t>
  </si>
  <si>
    <t>Hiring Pipeline</t>
  </si>
  <si>
    <t>Talent Acquisition · Interview Funnel · Offer Tracker</t>
  </si>
  <si>
    <t>OPEN ROLES</t>
  </si>
  <si>
    <t>Role</t>
  </si>
  <si>
    <t>JD Link</t>
  </si>
  <si>
    <t>Applications</t>
  </si>
  <si>
    <t>Phone Screen</t>
  </si>
  <si>
    <t>Technical</t>
  </si>
  <si>
    <t>Final</t>
  </si>
  <si>
    <t>Offers</t>
  </si>
  <si>
    <t>Hired</t>
  </si>
  <si>
    <t>Budget (₹/mo)</t>
  </si>
  <si>
    <t>Senior React Native Developer</t>
  </si>
  <si>
    <t>notion.so/jd1</t>
  </si>
  <si>
    <t>120000</t>
  </si>
  <si>
    <t>Filled</t>
  </si>
  <si>
    <t>Backend Engineer (Python/FastAPI)</t>
  </si>
  <si>
    <t>notion.so/jd2</t>
  </si>
  <si>
    <t>110000</t>
  </si>
  <si>
    <t>Interviewing</t>
  </si>
  <si>
    <t>AI/ML Engineer</t>
  </si>
  <si>
    <t>notion.so/jd3</t>
  </si>
  <si>
    <t>130000</t>
  </si>
  <si>
    <t>Product Designer (UI/UX)</t>
  </si>
  <si>
    <t>notion.so/jd4</t>
  </si>
  <si>
    <t>90000</t>
  </si>
  <si>
    <t>Growth / Marketing Manager</t>
  </si>
  <si>
    <t>notion.so/jd5</t>
  </si>
  <si>
    <t>80000</t>
  </si>
  <si>
    <t>Offer Stage</t>
  </si>
  <si>
    <t>Data Analyst</t>
  </si>
  <si>
    <t>Data</t>
  </si>
  <si>
    <t>notion.so/jd6</t>
  </si>
  <si>
    <t>70000</t>
  </si>
  <si>
    <t>Sourcing</t>
  </si>
  <si>
    <t>DevOps / Platform Engineer</t>
  </si>
  <si>
    <t>notion.so/jd7</t>
  </si>
  <si>
    <t>Customer Success Executive</t>
  </si>
  <si>
    <t>Operations</t>
  </si>
  <si>
    <t>notion.so/jd8</t>
  </si>
  <si>
    <t>CANDIDATE PIPELINE</t>
  </si>
  <si>
    <t>Candidate Name</t>
  </si>
  <si>
    <t>Source</t>
  </si>
  <si>
    <t>Resume</t>
  </si>
  <si>
    <t>Tech Score</t>
  </si>
  <si>
    <t>Interview Stage</t>
  </si>
  <si>
    <t>Salary Exp (₹)</t>
  </si>
  <si>
    <t>Location</t>
  </si>
  <si>
    <t>Notice Period</t>
  </si>
  <si>
    <t>Joining Date</t>
  </si>
  <si>
    <t>Arjun Sharma</t>
  </si>
  <si>
    <t>Senior React Native Dev</t>
  </si>
  <si>
    <t>LinkedIn</t>
  </si>
  <si>
    <t>drive.google.com/r1</t>
  </si>
  <si>
    <t>8.5/10</t>
  </si>
  <si>
    <t>Offer</t>
  </si>
  <si>
    <t>125000</t>
  </si>
  <si>
    <t>Bangalore</t>
  </si>
  <si>
    <t>30 days</t>
  </si>
  <si>
    <t>Offer Accepted</t>
  </si>
  <si>
    <t>Strong portfolio</t>
  </si>
  <si>
    <t>Priya Nair</t>
  </si>
  <si>
    <t>Backend Engineer</t>
  </si>
  <si>
    <t>Naukri</t>
  </si>
  <si>
    <t>drive.google.com/r2</t>
  </si>
  <si>
    <t>7.8/10</t>
  </si>
  <si>
    <t>115000</t>
  </si>
  <si>
    <t>Mumbai</t>
  </si>
  <si>
    <t>Immediate</t>
  </si>
  <si>
    <t>Final Interview</t>
  </si>
  <si>
    <t>Good FastAPI exp</t>
  </si>
  <si>
    <t>Rahul Verma</t>
  </si>
  <si>
    <t>AngelList</t>
  </si>
  <si>
    <t>drive.google.com/r3</t>
  </si>
  <si>
    <t>9.2/10</t>
  </si>
  <si>
    <t>135000</t>
  </si>
  <si>
    <t>Hyderabad</t>
  </si>
  <si>
    <t>60 days</t>
  </si>
  <si>
    <t>LLM + LangChain exp</t>
  </si>
  <si>
    <t>Sneha Iyer</t>
  </si>
  <si>
    <t>Product Designer</t>
  </si>
  <si>
    <t>Behance</t>
  </si>
  <si>
    <t>drive.google.com/r4</t>
  </si>
  <si>
    <t>8.0/10</t>
  </si>
  <si>
    <t>95000</t>
  </si>
  <si>
    <t>Fintech portfolio</t>
  </si>
  <si>
    <t>Kiran Patel</t>
  </si>
  <si>
    <t>Growth Manager</t>
  </si>
  <si>
    <t>Referral</t>
  </si>
  <si>
    <t>drive.google.com/r5</t>
  </si>
  <si>
    <t>85000</t>
  </si>
  <si>
    <t>Ahmedabad</t>
  </si>
  <si>
    <t>15 days</t>
  </si>
  <si>
    <t>Offer Sent</t>
  </si>
  <si>
    <t>Ex-Groww</t>
  </si>
  <si>
    <t>Divya Mehta</t>
  </si>
  <si>
    <t>Twitter</t>
  </si>
  <si>
    <t>drive.google.com/r6</t>
  </si>
  <si>
    <t>8.8/10</t>
  </si>
  <si>
    <t>140000</t>
  </si>
  <si>
    <t>Pune</t>
  </si>
  <si>
    <t>45 days</t>
  </si>
  <si>
    <t>MS from IIT</t>
  </si>
  <si>
    <t>Arun Kumar</t>
  </si>
  <si>
    <t>iimjobs</t>
  </si>
  <si>
    <t>drive.google.com/r7</t>
  </si>
  <si>
    <t>Rejected</t>
  </si>
  <si>
    <t>Chennai</t>
  </si>
  <si>
    <t>Insufficient exp</t>
  </si>
  <si>
    <t>HIRING METRICS</t>
  </si>
  <si>
    <t>Total Applications</t>
  </si>
  <si>
    <t>Total Hired</t>
  </si>
  <si>
    <t>Offer Acceptance Rate</t>
  </si>
  <si>
    <t>Avg Tech Score (pipeline)</t>
  </si>
  <si>
    <t>Open Roles</t>
  </si>
  <si>
    <t>Total Monthly Salary Budget (₹)</t>
  </si>
  <si>
    <t>Fundraising CRM</t>
  </si>
  <si>
    <t>Investor Pipeline · Deal Flow · Follow-ups · Status Tracker</t>
  </si>
  <si>
    <t>#</t>
  </si>
  <si>
    <t>Investor Name</t>
  </si>
  <si>
    <t>Firm</t>
  </si>
  <si>
    <t>Sector Focus</t>
  </si>
  <si>
    <t>Contact Source</t>
  </si>
  <si>
    <t>Warm Intro</t>
  </si>
  <si>
    <t>Email</t>
  </si>
  <si>
    <t>Last Contact</t>
  </si>
  <si>
    <t>Follow-up Date</t>
  </si>
  <si>
    <t>Interest Level</t>
  </si>
  <si>
    <t>Meeting Status</t>
  </si>
  <si>
    <t>Deck Shared</t>
  </si>
  <si>
    <t>Current Status</t>
  </si>
  <si>
    <t>Anand Lunia</t>
  </si>
  <si>
    <t>India Quotient</t>
  </si>
  <si>
    <t>Fintech/Consumer</t>
  </si>
  <si>
    <t>Pre-Seed/Seed</t>
  </si>
  <si>
    <t>Portfolio founder</t>
  </si>
  <si>
    <t>anand@iq.vc</t>
  </si>
  <si>
    <t>linkedin.com/anand</t>
  </si>
  <si>
    <t>2025-08-05</t>
  </si>
  <si>
    <t>1st meeting done</t>
  </si>
  <si>
    <t>Warm Lead</t>
  </si>
  <si>
    <t>Likes the AI angle</t>
  </si>
  <si>
    <t>Shekhar Kirani</t>
  </si>
  <si>
    <t>Accel India</t>
  </si>
  <si>
    <t>Fintech/SaaS</t>
  </si>
  <si>
    <t>Seed</t>
  </si>
  <si>
    <t>Cold email</t>
  </si>
  <si>
    <t>shekhar@accel.com</t>
  </si>
  <si>
    <t>linkedin.com/shekhar</t>
  </si>
  <si>
    <t>2025-07-30</t>
  </si>
  <si>
    <t>Deck reviewed</t>
  </si>
  <si>
    <t>Follow-up</t>
  </si>
  <si>
    <t>Wants traction data</t>
  </si>
  <si>
    <t>Prashanth Prakash</t>
  </si>
  <si>
    <t>Fintech</t>
  </si>
  <si>
    <t>Series A</t>
  </si>
  <si>
    <t>prashanth@accel.com</t>
  </si>
  <si>
    <t>linkedin.com/pp</t>
  </si>
  <si>
    <t>2025-08-10</t>
  </si>
  <si>
    <t>Intro call</t>
  </si>
  <si>
    <t>Interested</t>
  </si>
  <si>
    <t>Series A focus — early</t>
  </si>
  <si>
    <t>Vikram Vaidyanathan</t>
  </si>
  <si>
    <t>Matrix Partners</t>
  </si>
  <si>
    <t>Fintech/AI</t>
  </si>
  <si>
    <t>vikram@matrix.in</t>
  </si>
  <si>
    <t>linkedin.com/vv</t>
  </si>
  <si>
    <t>No response</t>
  </si>
  <si>
    <t>Cold</t>
  </si>
  <si>
    <t>Follow up needed</t>
  </si>
  <si>
    <t>Karan Mohla</t>
  </si>
  <si>
    <t>B Capital</t>
  </si>
  <si>
    <t>Conf meet</t>
  </si>
  <si>
    <t>karan@bcapital.com</t>
  </si>
  <si>
    <t>linkedin.com/km</t>
  </si>
  <si>
    <t>Partner meeting</t>
  </si>
  <si>
    <t>Hot Lead</t>
  </si>
  <si>
    <t>Loves AI + fintech combo</t>
  </si>
  <si>
    <t>Rehan Yar Khan</t>
  </si>
  <si>
    <t>Orios Venture</t>
  </si>
  <si>
    <t>Pre-Seed</t>
  </si>
  <si>
    <t>Angel referral</t>
  </si>
  <si>
    <t>rehan@orios.in</t>
  </si>
  <si>
    <t>linkedin.com/rk</t>
  </si>
  <si>
    <t>2025-07-26</t>
  </si>
  <si>
    <t>2nd meeting</t>
  </si>
  <si>
    <t>Term Sheet Pending</t>
  </si>
  <si>
    <t>Checking legal setup</t>
  </si>
  <si>
    <t>Rajan Anandan</t>
  </si>
  <si>
    <t>Sequoia Capital</t>
  </si>
  <si>
    <t>Cold outreach</t>
  </si>
  <si>
    <t>rajan@sequoiacap.com</t>
  </si>
  <si>
    <t>linkedin.com/ra</t>
  </si>
  <si>
    <t>Not contacted</t>
  </si>
  <si>
    <t>Pipeline</t>
  </si>
  <si>
    <t>Build traction first</t>
  </si>
  <si>
    <t>Nikhil Kamath (Angel)</t>
  </si>
  <si>
    <t>Independent</t>
  </si>
  <si>
    <t>Fintech/Crypto</t>
  </si>
  <si>
    <t>Angel</t>
  </si>
  <si>
    <t>Twitter DM</t>
  </si>
  <si>
    <t>nikhil@zerodha.com</t>
  </si>
  <si>
    <t>linkedin.com/nk</t>
  </si>
  <si>
    <t>DM responded</t>
  </si>
  <si>
    <t>Intro call scheduled</t>
  </si>
  <si>
    <t>Arpit Agarwal</t>
  </si>
  <si>
    <t>Blume Ventures</t>
  </si>
  <si>
    <t>YC referral</t>
  </si>
  <si>
    <t>arpit@blume.vc</t>
  </si>
  <si>
    <t>linkedin.com/aa</t>
  </si>
  <si>
    <t>DD Started</t>
  </si>
  <si>
    <t>Due Diligence</t>
  </si>
  <si>
    <t>Financial model requested</t>
  </si>
  <si>
    <t>Sanjay Mehta</t>
  </si>
  <si>
    <t>100X.VC</t>
  </si>
  <si>
    <t>Application</t>
  </si>
  <si>
    <t>sanjay@100x.vc</t>
  </si>
  <si>
    <t>linkedin.com/sm</t>
  </si>
  <si>
    <t>2025-07-08</t>
  </si>
  <si>
    <t>Phone call</t>
  </si>
  <si>
    <t>100X cohort application</t>
  </si>
  <si>
    <t>FUNDRAISING SUMMARY</t>
  </si>
  <si>
    <t>Target Raise (₹ Cr)</t>
  </si>
  <si>
    <t>2.0</t>
  </si>
  <si>
    <t>Raised to Date (₹ Cr)</t>
  </si>
  <si>
    <t>Total Investors Contacted</t>
  </si>
  <si>
    <t>Hot / Warm Leads</t>
  </si>
  <si>
    <t>Term Sheets</t>
  </si>
  <si>
    <t>Closed Won</t>
  </si>
  <si>
    <t>Investor Research</t>
  </si>
  <si>
    <t>VC Firms · Angels · Family Offices · India Fintech Ecosystem</t>
  </si>
  <si>
    <t>Investor / Firm</t>
  </si>
  <si>
    <t>Stage Focus</t>
  </si>
  <si>
    <t>Ticket Size (₹ Cr)</t>
  </si>
  <si>
    <t>Sector</t>
  </si>
  <si>
    <t>Portfolio Cos.</t>
  </si>
  <si>
    <t>Website</t>
  </si>
  <si>
    <t>Warm Intro Source</t>
  </si>
  <si>
    <t>VC</t>
  </si>
  <si>
    <t>0.5-3</t>
  </si>
  <si>
    <t>Consumer/Fintech</t>
  </si>
  <si>
    <t>DealShare, BankSathi</t>
  </si>
  <si>
    <t>iq.vc</t>
  </si>
  <si>
    <t>A1</t>
  </si>
  <si>
    <t>Best fit for India consumer fintech</t>
  </si>
  <si>
    <t>Seed/Series A</t>
  </si>
  <si>
    <t>3-20</t>
  </si>
  <si>
    <t>Bharatpe, Zetwerk</t>
  </si>
  <si>
    <t>accel.com/india</t>
  </si>
  <si>
    <t>A</t>
  </si>
  <si>
    <t>Strong fintech portfolio</t>
  </si>
  <si>
    <t>3-15</t>
  </si>
  <si>
    <t>Ola, Razorpay</t>
  </si>
  <si>
    <t>matrixpartners.in</t>
  </si>
  <si>
    <t>B</t>
  </si>
  <si>
    <t>More growth stage</t>
  </si>
  <si>
    <t>0.5-5</t>
  </si>
  <si>
    <t>AI/Fintech</t>
  </si>
  <si>
    <t>Unacademy, Purplle</t>
  </si>
  <si>
    <t>blume.vc</t>
  </si>
  <si>
    <t>Very AI-positive thesis</t>
  </si>
  <si>
    <t>0.25-0.75</t>
  </si>
  <si>
    <t>All Sectors</t>
  </si>
  <si>
    <t>50+ startups</t>
  </si>
  <si>
    <t>100x.vc</t>
  </si>
  <si>
    <t>Good for first check</t>
  </si>
  <si>
    <t>Orios Venture Partners</t>
  </si>
  <si>
    <t>1-5</t>
  </si>
  <si>
    <t>Xpressbees</t>
  </si>
  <si>
    <t>orios.in</t>
  </si>
  <si>
    <t>India-focused consumer</t>
  </si>
  <si>
    <t>Sequoia Capital India</t>
  </si>
  <si>
    <t>Series A+</t>
  </si>
  <si>
    <t>10-50</t>
  </si>
  <si>
    <t>Razorpay, CRED</t>
  </si>
  <si>
    <t>sequoiacap.com/india</t>
  </si>
  <si>
    <t>C</t>
  </si>
  <si>
    <t>Too early for them</t>
  </si>
  <si>
    <t>B Capital Group</t>
  </si>
  <si>
    <t>5-20</t>
  </si>
  <si>
    <t>Various</t>
  </si>
  <si>
    <t>bcapital.com</t>
  </si>
  <si>
    <t>Strong AI thesis</t>
  </si>
  <si>
    <t>Kunal Shah (Angel)</t>
  </si>
  <si>
    <t>0.25-1</t>
  </si>
  <si>
    <t>CRED</t>
  </si>
  <si>
    <t>Ex-CRED, knows fintech deeply</t>
  </si>
  <si>
    <t>Fintech/Invest</t>
  </si>
  <si>
    <t>Zerodha ecosystem</t>
  </si>
  <si>
    <t>Reach via Twitter</t>
  </si>
  <si>
    <t>Zerodha Fund House</t>
  </si>
  <si>
    <t>CVC</t>
  </si>
  <si>
    <t>1-3</t>
  </si>
  <si>
    <t>zerodha.com</t>
  </si>
  <si>
    <t>Strategic investor angle</t>
  </si>
  <si>
    <t>PayU Fintech Fund</t>
  </si>
  <si>
    <t>2-8</t>
  </si>
  <si>
    <t>Payments/Fintech</t>
  </si>
  <si>
    <t>payu.in</t>
  </si>
  <si>
    <t>Corporate VC — slow</t>
  </si>
  <si>
    <t>Budget &amp; Burn Rate</t>
  </si>
  <si>
    <t>Monthly Burn · Runway · Cost Centers · Actuals vs Forecast</t>
  </si>
  <si>
    <t>MONTHLY BUDGET vs ACTUALS (₹)</t>
  </si>
  <si>
    <t>Sub-category</t>
  </si>
  <si>
    <t>Jul-25</t>
  </si>
  <si>
    <t>Aug-25</t>
  </si>
  <si>
    <t>Sep-25</t>
  </si>
  <si>
    <t>Oct-25</t>
  </si>
  <si>
    <t>Nov-25</t>
  </si>
  <si>
    <t>Dec-25</t>
  </si>
  <si>
    <t>Q3 Budget</t>
  </si>
  <si>
    <t>Q3 Actual</t>
  </si>
  <si>
    <t>Q4 Budget</t>
  </si>
  <si>
    <t>Variance</t>
  </si>
  <si>
    <t>Salaries</t>
  </si>
  <si>
    <t>300000</t>
  </si>
  <si>
    <t>310000</t>
  </si>
  <si>
    <t>320000</t>
  </si>
  <si>
    <t>330000</t>
  </si>
  <si>
    <t>LLM API Costs</t>
  </si>
  <si>
    <t>35000</t>
  </si>
  <si>
    <t>40000</t>
  </si>
  <si>
    <t>GPU/Compute</t>
  </si>
  <si>
    <t>Infrastructure</t>
  </si>
  <si>
    <t>Cloud (Railway/AWS)</t>
  </si>
  <si>
    <t>8000</t>
  </si>
  <si>
    <t>12000</t>
  </si>
  <si>
    <t>Registration &amp; Compliance</t>
  </si>
  <si>
    <t>75000</t>
  </si>
  <si>
    <t>Digital Marketing</t>
  </si>
  <si>
    <t>150000</t>
  </si>
  <si>
    <t>Tools + Freelance</t>
  </si>
  <si>
    <t>Office + Misc</t>
  </si>
  <si>
    <t>Software</t>
  </si>
  <si>
    <t>SaaS Tools (Notion,Figma,etc)</t>
  </si>
  <si>
    <t>Travel</t>
  </si>
  <si>
    <t>Investor meetings</t>
  </si>
  <si>
    <t>TOTAL</t>
  </si>
  <si>
    <t>RUNWAY CALCULATOR</t>
  </si>
  <si>
    <t>Starting Cash (₹)</t>
  </si>
  <si>
    <t>5000000</t>
  </si>
  <si>
    <t>Monthly Burn Rate (₹)</t>
  </si>
  <si>
    <t>Estimated Runway End</t>
  </si>
  <si>
    <t>Revenue (Monthly, ₹)</t>
  </si>
  <si>
    <t>Net Burn (₹/mo)</t>
  </si>
  <si>
    <t>Adjusted Runway (months)</t>
  </si>
  <si>
    <t>Revenue Model</t>
  </si>
  <si>
    <t>Freemium + Subscription · Unit Economics · 12-Month Projections</t>
  </si>
  <si>
    <t>PRICING TIERS</t>
  </si>
  <si>
    <t>Tier</t>
  </si>
  <si>
    <t>Price (₹/mo)</t>
  </si>
  <si>
    <t>Features</t>
  </si>
  <si>
    <t>Target Users</t>
  </si>
  <si>
    <t>Conv. Rate</t>
  </si>
  <si>
    <t>Free</t>
  </si>
  <si>
    <t>Basic tracking, 50 txns/mo, 1 AI insight/wk</t>
  </si>
  <si>
    <t>All users</t>
  </si>
  <si>
    <t>Acquisition tier</t>
  </si>
  <si>
    <t>Plus</t>
  </si>
  <si>
    <t>199</t>
  </si>
  <si>
    <t>Unlimited tracking, 10 AI insights/wk, Budgeting</t>
  </si>
  <si>
    <t>Active savers</t>
  </si>
  <si>
    <t>8%</t>
  </si>
  <si>
    <t>Core revenue tier</t>
  </si>
  <si>
    <t>Pro</t>
  </si>
  <si>
    <t>499</t>
  </si>
  <si>
    <t>All features, AI advisor, UPI, doc analysis</t>
  </si>
  <si>
    <t>Power users</t>
  </si>
  <si>
    <t>2%</t>
  </si>
  <si>
    <t>Premium tier</t>
  </si>
  <si>
    <t>Family</t>
  </si>
  <si>
    <t>799/mo</t>
  </si>
  <si>
    <t>5 members, family dashboard, all Pro features</t>
  </si>
  <si>
    <t>Families</t>
  </si>
  <si>
    <t>1%</t>
  </si>
  <si>
    <t>High LTV tier</t>
  </si>
  <si>
    <t>12-MONTH REVENUE PROJECTION</t>
  </si>
  <si>
    <t>Month</t>
  </si>
  <si>
    <t>Free Users</t>
  </si>
  <si>
    <t>Plus Subs</t>
  </si>
  <si>
    <t>Pro Subs</t>
  </si>
  <si>
    <t>Family Subs</t>
  </si>
  <si>
    <t>MRR (₹)</t>
  </si>
  <si>
    <t>ARR (₹)</t>
  </si>
  <si>
    <t>CAC (₹)</t>
  </si>
  <si>
    <t>LTV (₹)</t>
  </si>
  <si>
    <t>LTV:CAC</t>
  </si>
  <si>
    <t>Month 1 (Oct-25)</t>
  </si>
  <si>
    <t>Month 2</t>
  </si>
  <si>
    <t>750</t>
  </si>
  <si>
    <t>Month 3</t>
  </si>
  <si>
    <t>70</t>
  </si>
  <si>
    <t>700</t>
  </si>
  <si>
    <t>Month 6</t>
  </si>
  <si>
    <t>4000</t>
  </si>
  <si>
    <t>300</t>
  </si>
  <si>
    <t>90</t>
  </si>
  <si>
    <t>Month 9</t>
  </si>
  <si>
    <t>900</t>
  </si>
  <si>
    <t>250</t>
  </si>
  <si>
    <t>100</t>
  </si>
  <si>
    <t>Month 12</t>
  </si>
  <si>
    <t>22000</t>
  </si>
  <si>
    <t>2200</t>
  </si>
  <si>
    <t>GTM &amp; Marketing</t>
  </si>
  <si>
    <t>Go-to-Market Campaigns · CAC · Channels · Growth Experiments</t>
  </si>
  <si>
    <t>Campaign Name</t>
  </si>
  <si>
    <t>Channel</t>
  </si>
  <si>
    <t>Budget (₹)</t>
  </si>
  <si>
    <t>Spend (₹)</t>
  </si>
  <si>
    <t>Impressions</t>
  </si>
  <si>
    <t>Clicks</t>
  </si>
  <si>
    <t>Signups</t>
  </si>
  <si>
    <t>CTR</t>
  </si>
  <si>
    <t>Conv Rate</t>
  </si>
  <si>
    <t>ROI</t>
  </si>
  <si>
    <t>Launch Waitlist Campaign</t>
  </si>
  <si>
    <t>Instagram + Facebook</t>
  </si>
  <si>
    <t>45000</t>
  </si>
  <si>
    <t>250000</t>
  </si>
  <si>
    <t>8500</t>
  </si>
  <si>
    <t>Google Search — Finance Tips</t>
  </si>
  <si>
    <t>Google Ads</t>
  </si>
  <si>
    <t>28000</t>
  </si>
  <si>
    <t>180</t>
  </si>
  <si>
    <t>Influencer — YouTube (fin-ed)</t>
  </si>
  <si>
    <t>YouTube</t>
  </si>
  <si>
    <t>5500</t>
  </si>
  <si>
    <t>210</t>
  </si>
  <si>
    <t>Referral Program — Beta</t>
  </si>
  <si>
    <t>In-App</t>
  </si>
  <si>
    <t>3000</t>
  </si>
  <si>
    <t>380</t>
  </si>
  <si>
    <t>WhatsApp Broadcast — Family</t>
  </si>
  <si>
    <t>WhatsApp</t>
  </si>
  <si>
    <t>SEO Blog — Tax tips India</t>
  </si>
  <si>
    <t>Organic SEO</t>
  </si>
  <si>
    <t>65</t>
  </si>
  <si>
    <t>App Store Optimization</t>
  </si>
  <si>
    <t>ASO</t>
  </si>
  <si>
    <t>LinkedIn — B2B (HR benefits)</t>
  </si>
  <si>
    <t>LinkedIn Ads</t>
  </si>
  <si>
    <t>CHANNEL SCORECARD</t>
  </si>
  <si>
    <t>Total Spend (₹)</t>
  </si>
  <si>
    <t>Total Signups</t>
  </si>
  <si>
    <t>Avg CAC (₹)</t>
  </si>
  <si>
    <t>Best Performing?</t>
  </si>
  <si>
    <t>Social (IG+FB)</t>
  </si>
  <si>
    <t>Lowest CAC channel</t>
  </si>
  <si>
    <t>High intent but expensive</t>
  </si>
  <si>
    <t>Best CAC — scale this</t>
  </si>
  <si>
    <t>Long-term play</t>
  </si>
  <si>
    <t>Content Calendar</t>
  </si>
  <si>
    <t>Social Media · Blog · YouTube · WhatsApp · Email Newsletter</t>
  </si>
  <si>
    <t>Content Title</t>
  </si>
  <si>
    <t>Format</t>
  </si>
  <si>
    <t>CTA</t>
  </si>
  <si>
    <t>Reach</t>
  </si>
  <si>
    <t>5 Tax Saving Tips for Salaried Indians</t>
  </si>
  <si>
    <t>Education</t>
  </si>
  <si>
    <t>Instagram</t>
  </si>
  <si>
    <t>Carousel</t>
  </si>
  <si>
    <t>Download App</t>
  </si>
  <si>
    <t>4.2%</t>
  </si>
  <si>
    <t>Top performer</t>
  </si>
  <si>
    <t>2025-08-03</t>
  </si>
  <si>
    <t>How AI Can Manage Your Budget</t>
  </si>
  <si>
    <t>Awareness</t>
  </si>
  <si>
    <t>Reel (60s)</t>
  </si>
  <si>
    <t>Subscribe</t>
  </si>
  <si>
    <t>6.1%</t>
  </si>
  <si>
    <t>High shares</t>
  </si>
  <si>
    <t>Financial Health Score — What Is It?</t>
  </si>
  <si>
    <t>Product Feature</t>
  </si>
  <si>
    <t>Article</t>
  </si>
  <si>
    <t>Sign Up Waitlist</t>
  </si>
  <si>
    <t>3200</t>
  </si>
  <si>
    <t>3.8%</t>
  </si>
  <si>
    <t>Good B2B reach</t>
  </si>
  <si>
    <t>2025-08-07</t>
  </si>
  <si>
    <t>UPI + AI = Your Personal CFO</t>
  </si>
  <si>
    <t>Twitter/X</t>
  </si>
  <si>
    <t>Thread</t>
  </si>
  <si>
    <t>App Download</t>
  </si>
  <si>
    <t>Scheduled</t>
  </si>
  <si>
    <t>India's Best Budgeting Apps (Feature)</t>
  </si>
  <si>
    <t>SEO Blog</t>
  </si>
  <si>
    <t>Blog 1500w</t>
  </si>
  <si>
    <t>Sign Up</t>
  </si>
  <si>
    <t>SEO target: budgeting apps India</t>
  </si>
  <si>
    <t>Family Finance Tips — Hindi</t>
  </si>
  <si>
    <t>Message + Image</t>
  </si>
  <si>
    <t>Share</t>
  </si>
  <si>
    <t>Regional language content</t>
  </si>
  <si>
    <t>August Newsletter — AI Finance Digest</t>
  </si>
  <si>
    <t>Newsletter</t>
  </si>
  <si>
    <t>HTML Email</t>
  </si>
  <si>
    <t>Upgrade to Pro</t>
  </si>
  <si>
    <t>5000 subscribers target</t>
  </si>
  <si>
    <t>2025-08-14</t>
  </si>
  <si>
    <t>Behind the Build: Our AI Model</t>
  </si>
  <si>
    <t>Behind Scenes</t>
  </si>
  <si>
    <t>Post + Video</t>
  </si>
  <si>
    <t>Follow</t>
  </si>
  <si>
    <t>Founder branding</t>
  </si>
  <si>
    <t>2025-08-17</t>
  </si>
  <si>
    <t>Expense Tracking Challenge #30Days</t>
  </si>
  <si>
    <t>Community</t>
  </si>
  <si>
    <t>Story Series</t>
  </si>
  <si>
    <t>Tag a Friend</t>
  </si>
  <si>
    <t>Viral campaign</t>
  </si>
  <si>
    <t>2025-08-20</t>
  </si>
  <si>
    <t>How Indians Waste ₹5000/Month</t>
  </si>
  <si>
    <t>Hook Content</t>
  </si>
  <si>
    <t>YouTube Shorts</t>
  </si>
  <si>
    <t>Short 30s</t>
  </si>
  <si>
    <t>Hook-based content</t>
  </si>
  <si>
    <t>Customer Feedback &amp; User Research</t>
  </si>
  <si>
    <t>Beta Users · NPS · Feature Requests · Pain Points</t>
  </si>
  <si>
    <t>User ID</t>
  </si>
  <si>
    <t>Feedback Summary</t>
  </si>
  <si>
    <t>Feature Request</t>
  </si>
  <si>
    <t>Action Taken</t>
  </si>
  <si>
    <t>U-001</t>
  </si>
  <si>
    <t>Beta App</t>
  </si>
  <si>
    <t>UX</t>
  </si>
  <si>
    <t>Onboarding is smooth, love the design</t>
  </si>
  <si>
    <t>Add dark mode</t>
  </si>
  <si>
    <t>In Backlog</t>
  </si>
  <si>
    <t>Product</t>
  </si>
  <si>
    <t>Added to backlog</t>
  </si>
  <si>
    <t>U-002</t>
  </si>
  <si>
    <t>Good but need UPI linking ASAP</t>
  </si>
  <si>
    <t>UPI bank sync</t>
  </si>
  <si>
    <t>In Sprint 4</t>
  </si>
  <si>
    <t>Added to S4</t>
  </si>
  <si>
    <t>2025-08-02</t>
  </si>
  <si>
    <t>U-003</t>
  </si>
  <si>
    <t>Feedback Form</t>
  </si>
  <si>
    <t>AI suggestions are too generic</t>
  </si>
  <si>
    <t>More personalized AI</t>
  </si>
  <si>
    <t>Backlog</t>
  </si>
  <si>
    <t>Prompt improvement planned</t>
  </si>
  <si>
    <t>U-004</t>
  </si>
  <si>
    <t>App is fast, no crashes</t>
  </si>
  <si>
    <t>No Action</t>
  </si>
  <si>
    <t>U-005</t>
  </si>
  <si>
    <t>Interview</t>
  </si>
  <si>
    <t>No Hindi support — dealbreaker for parents</t>
  </si>
  <si>
    <t>Hindi UI</t>
  </si>
  <si>
    <t>Added to multilingual sprint</t>
  </si>
  <si>
    <t>U-006</t>
  </si>
  <si>
    <t>Love financial health score concept</t>
  </si>
  <si>
    <t>Investment breakdown</t>
  </si>
  <si>
    <t>2025-08-04</t>
  </si>
  <si>
    <t>U-007</t>
  </si>
  <si>
    <t>NPS Survey</t>
  </si>
  <si>
    <t>Bug</t>
  </si>
  <si>
    <t>Expense categories are confusing</t>
  </si>
  <si>
    <t>Better categories</t>
  </si>
  <si>
    <t>Fixed in S2</t>
  </si>
  <si>
    <t>U-008</t>
  </si>
  <si>
    <t>The budget advisor saved me ₹3000!</t>
  </si>
  <si>
    <t>Spending alerts</t>
  </si>
  <si>
    <t>FCM alerts added</t>
  </si>
  <si>
    <t>U-009</t>
  </si>
  <si>
    <t>Privacy</t>
  </si>
  <si>
    <t>Worried about data security</t>
  </si>
  <si>
    <t>Two-factor auth</t>
  </si>
  <si>
    <t>2FA planned</t>
  </si>
  <si>
    <t>U-010</t>
  </si>
  <si>
    <t>General</t>
  </si>
  <si>
    <t>Best finance app for Indians I've seen</t>
  </si>
  <si>
    <t>Family sharing</t>
  </si>
  <si>
    <t>NPS SUMMARY</t>
  </si>
  <si>
    <t>Total Responses</t>
  </si>
  <si>
    <t>Average NPS Score</t>
  </si>
  <si>
    <t>Promoters (9-10)</t>
  </si>
  <si>
    <t>Passives (7-8)</t>
  </si>
  <si>
    <t>Detractors (0-6)</t>
  </si>
  <si>
    <t>NPS = Promoters% - Detractors%</t>
  </si>
  <si>
    <t>PavelBodle  |  Launch War Room</t>
  </si>
  <si>
    <t>MVP Launch Operations · Deployment Checklist · Incident Tracker · Go-Live</t>
  </si>
  <si>
    <t>PRE-LAUNCH CRITICAL CHECKLIST</t>
  </si>
  <si>
    <t>Target Date</t>
  </si>
  <si>
    <t>Done Date</t>
  </si>
  <si>
    <t>Blocker</t>
  </si>
  <si>
    <t>All critical bugs resolved</t>
  </si>
  <si>
    <t>QA</t>
  </si>
  <si>
    <t>2025-09-18</t>
  </si>
  <si>
    <t>3 bugs open</t>
  </si>
  <si>
    <t>P0 must fix</t>
  </si>
  <si>
    <t>Security penetration test</t>
  </si>
  <si>
    <t>2025-09-15</t>
  </si>
  <si>
    <t>CERT-In compliant</t>
  </si>
  <si>
    <t>Load test — 1000 concurrent users</t>
  </si>
  <si>
    <t>2025-09-16</t>
  </si>
  <si>
    <t>k6 test suite</t>
  </si>
  <si>
    <t>App Store submission (iOS)</t>
  </si>
  <si>
    <t>2025-09-17</t>
  </si>
  <si>
    <t>Apple review 2-3d</t>
  </si>
  <si>
    <t>Google Play submission</t>
  </si>
  <si>
    <t>24hr review</t>
  </si>
  <si>
    <t>Privacy policy live on website</t>
  </si>
  <si>
    <t>Production DB backup verified</t>
  </si>
  <si>
    <t>Test restore process</t>
  </si>
  <si>
    <t>CDN and WAF configured</t>
  </si>
  <si>
    <t>2025-09-10</t>
  </si>
  <si>
    <t>Email transactional setup (SendGrid)</t>
  </si>
  <si>
    <t>Analytics tracking verified (all events)</t>
  </si>
  <si>
    <t>Mixpanel + GA4</t>
  </si>
  <si>
    <t>11</t>
  </si>
  <si>
    <t>Customer support channel ready</t>
  </si>
  <si>
    <t>Freshdesk + WhatsApp</t>
  </si>
  <si>
    <t>Monitoring alerts configured</t>
  </si>
  <si>
    <t>2025-09-12</t>
  </si>
  <si>
    <t>DataDog + Sentry</t>
  </si>
  <si>
    <t>13</t>
  </si>
  <si>
    <t>Rollback plan documented</t>
  </si>
  <si>
    <t>2025-09-14</t>
  </si>
  <si>
    <t>GitHub + Railway</t>
  </si>
  <si>
    <t>Launch press release ready</t>
  </si>
  <si>
    <t>YourStory + MediaNama</t>
  </si>
  <si>
    <t>Influencer posts scheduled</t>
  </si>
  <si>
    <t>2025-09-20</t>
  </si>
  <si>
    <t>D-day posts</t>
  </si>
  <si>
    <t>INCIDENT TRACKER</t>
  </si>
  <si>
    <t>Incident ID</t>
  </si>
  <si>
    <t>Title</t>
  </si>
  <si>
    <t>Severity</t>
  </si>
  <si>
    <t>Reported By</t>
  </si>
  <si>
    <t>Time Reported</t>
  </si>
  <si>
    <t>Time Resolved</t>
  </si>
  <si>
    <t>Duration</t>
  </si>
  <si>
    <t>Root Cause</t>
  </si>
  <si>
    <t>Resolution</t>
  </si>
  <si>
    <t>Post-Mortem</t>
  </si>
  <si>
    <t>INC-001</t>
  </si>
  <si>
    <t>DB connection pool exhausted</t>
  </si>
  <si>
    <t>DevOps Alert</t>
  </si>
  <si>
    <t>2025-08-15 14:22</t>
  </si>
  <si>
    <t>2025-08-15 14:48</t>
  </si>
  <si>
    <t>26 mins</t>
  </si>
  <si>
    <t>Max connections set too low</t>
  </si>
  <si>
    <t>Increased pool to 100</t>
  </si>
  <si>
    <t>Resolved</t>
  </si>
  <si>
    <t>INC-002</t>
  </si>
  <si>
    <t>OTP SMS delivery failure (Jio)</t>
  </si>
  <si>
    <t>User Report</t>
  </si>
  <si>
    <t>2025-08-18 10:05</t>
  </si>
  <si>
    <t>2025-08-18 11:30</t>
  </si>
  <si>
    <t>85 mins</t>
  </si>
  <si>
    <t>Twilio Jio routing issue</t>
  </si>
  <si>
    <t>Switched to MSG91</t>
  </si>
  <si>
    <t>INC-003</t>
  </si>
  <si>
    <t>AI latency spike &gt; 5s</t>
  </si>
  <si>
    <t>2025-08-20 16:00</t>
  </si>
  <si>
    <t>2025-08-20 16:30</t>
  </si>
  <si>
    <t>30 mins</t>
  </si>
  <si>
    <t>Groq API rate limit</t>
  </si>
  <si>
    <t>Added retry + fallback</t>
  </si>
  <si>
    <t>PavelBodle  |  KPI Dashboard</t>
  </si>
  <si>
    <t>North-Star Metrics · Growth · Finance · AI · Product — Investor-Ready</t>
  </si>
  <si>
    <t>GROWTH METRICS</t>
  </si>
  <si>
    <t>Target (Monthly)</t>
  </si>
  <si>
    <t>Current Month</t>
  </si>
  <si>
    <t>Last Month</t>
  </si>
  <si>
    <t>MoM Change</t>
  </si>
  <si>
    <t>MoM %</t>
  </si>
  <si>
    <t>YTD</t>
  </si>
  <si>
    <t>387</t>
  </si>
  <si>
    <t>310</t>
  </si>
  <si>
    <t>MAU (Monthly Active Users)</t>
  </si>
  <si>
    <t>1240</t>
  </si>
  <si>
    <t>850</t>
  </si>
  <si>
    <t>App Downloads (cumulative)</t>
  </si>
  <si>
    <t>2100</t>
  </si>
  <si>
    <t>New Signups (monthly)</t>
  </si>
  <si>
    <t>620</t>
  </si>
  <si>
    <t>410</t>
  </si>
  <si>
    <t>DAU/MAU Ratio</t>
  </si>
  <si>
    <t>25%</t>
  </si>
  <si>
    <t>7-Day Retention</t>
  </si>
  <si>
    <t>40%</t>
  </si>
  <si>
    <t>34%</t>
  </si>
  <si>
    <t>30%</t>
  </si>
  <si>
    <t>30-Day Retention</t>
  </si>
  <si>
    <t>18%</t>
  </si>
  <si>
    <t>15%</t>
  </si>
  <si>
    <t>38</t>
  </si>
  <si>
    <t>FINANCIAL METRICS</t>
  </si>
  <si>
    <t>Last Period</t>
  </si>
  <si>
    <t>Annual</t>
  </si>
  <si>
    <t>MRR (Monthly Recurring Revenue ₹)</t>
  </si>
  <si>
    <t>38000</t>
  </si>
  <si>
    <t>18000</t>
  </si>
  <si>
    <t>ARR (Annual Run Rate ₹)</t>
  </si>
  <si>
    <t>1200000</t>
  </si>
  <si>
    <t>800000</t>
  </si>
  <si>
    <t>720000</t>
  </si>
  <si>
    <t>690000</t>
  </si>
  <si>
    <t>CAC (₹ per customer)</t>
  </si>
  <si>
    <t>480</t>
  </si>
  <si>
    <t>530</t>
  </si>
  <si>
    <t>LTV (12mo, ₹)</t>
  </si>
  <si>
    <t>1680</t>
  </si>
  <si>
    <t>LTV:CAC Ratio</t>
  </si>
  <si>
    <t>3x</t>
  </si>
  <si>
    <t>Gross Margin</t>
  </si>
  <si>
    <t>70%</t>
  </si>
  <si>
    <t>68%</t>
  </si>
  <si>
    <t>65%</t>
  </si>
  <si>
    <t>AI PRODUCT METRICS</t>
  </si>
  <si>
    <t>Last Week</t>
  </si>
  <si>
    <t>Trend</t>
  </si>
  <si>
    <t>↑</t>
  </si>
  <si>
    <t>Avg AI Latency (ms)</t>
  </si>
  <si>
    <t>&lt;500</t>
  </si>
  <si>
    <t>↓ Good</t>
  </si>
  <si>
    <t>AI Cost per Request (₹)</t>
  </si>
  <si>
    <t>0.04</t>
  </si>
  <si>
    <t>0.06</t>
  </si>
  <si>
    <t>Hallucination Rate</t>
  </si>
  <si>
    <t>&lt;2%</t>
  </si>
  <si>
    <t>3.2%</t>
  </si>
  <si>
    <t>4.1%</t>
  </si>
  <si>
    <t>↓</t>
  </si>
  <si>
    <t>AI Feature Adoption</t>
  </si>
  <si>
    <t>50%</t>
  </si>
  <si>
    <t>38%</t>
  </si>
  <si>
    <t>22%</t>
  </si>
  <si>
    <t>Prompt Eval Pass Rate</t>
  </si>
  <si>
    <t>78%</t>
  </si>
  <si>
    <t>User Satisfaction (AI)</t>
  </si>
  <si>
    <t>4.5/5</t>
  </si>
  <si>
    <t>4.1</t>
  </si>
  <si>
    <t>3.9</t>
  </si>
  <si>
    <t>ENGAGEMENT METRICS</t>
  </si>
  <si>
    <t>Benchmark</t>
  </si>
  <si>
    <t>Industry Avg</t>
  </si>
  <si>
    <t>Avg Session Duration (min)</t>
  </si>
  <si>
    <t>6.2</t>
  </si>
  <si>
    <t>5.8</t>
  </si>
  <si>
    <t>5 min</t>
  </si>
  <si>
    <t>Sessions per DAU</t>
  </si>
  <si>
    <t>2.5</t>
  </si>
  <si>
    <t>2.1</t>
  </si>
  <si>
    <t>1.9</t>
  </si>
  <si>
    <t>Feature Adoption (Budget)</t>
  </si>
  <si>
    <t>42%</t>
  </si>
  <si>
    <t>Churn Rate (monthly)</t>
  </si>
  <si>
    <t>&lt;3%</t>
  </si>
  <si>
    <t>5.1%</t>
  </si>
  <si>
    <t>App Store Rating</t>
  </si>
  <si>
    <t>4.5</t>
  </si>
  <si>
    <t>4.2</t>
  </si>
  <si>
    <t>4.0</t>
  </si>
  <si>
    <t>4.3</t>
  </si>
  <si>
    <t>Support Ticket Volume</t>
  </si>
  <si>
    <t>&lt;100/mo</t>
  </si>
  <si>
    <t>67</t>
  </si>
  <si>
    <t>82</t>
  </si>
  <si>
    <t>Push Notification CTR</t>
  </si>
  <si>
    <t>12%</t>
  </si>
  <si>
    <t>Risk Register</t>
  </si>
  <si>
    <t>Risk Identification · Impact Analysis · Mitigation · Monitoring</t>
  </si>
  <si>
    <t>Risk ID</t>
  </si>
  <si>
    <t>Risk Description</t>
  </si>
  <si>
    <t>Risk Score</t>
  </si>
  <si>
    <t>Mitigation Strategy</t>
  </si>
  <si>
    <t>Contingency</t>
  </si>
  <si>
    <t>Review Date</t>
  </si>
  <si>
    <t>R-001</t>
  </si>
  <si>
    <t>RBI regulatory action on AI financial advice</t>
  </si>
  <si>
    <t>Engage RBI consultant, stay as tool not advisor</t>
  </si>
  <si>
    <t>Pivot product positioning</t>
  </si>
  <si>
    <t>Most critical risk</t>
  </si>
  <si>
    <t>R-002</t>
  </si>
  <si>
    <t>Data breach / user financial data leak</t>
  </si>
  <si>
    <t>Encryption at rest+transit, pentest, bug bounty</t>
  </si>
  <si>
    <t>Incident response plan</t>
  </si>
  <si>
    <t>DPDP Act liability</t>
  </si>
  <si>
    <t>R-003</t>
  </si>
  <si>
    <t>Key engineer departure before MVP</t>
  </si>
  <si>
    <t>ESOPs, competitive salary, documentation</t>
  </si>
  <si>
    <t>Hire contractor backup</t>
  </si>
  <si>
    <t>2 engineers critical path</t>
  </si>
  <si>
    <t>R-004</t>
  </si>
  <si>
    <t>Fundraising falls through</t>
  </si>
  <si>
    <t>Parallel angel outreach, revenue first</t>
  </si>
  <si>
    <t>Extend runway, cut non-essentials</t>
  </si>
  <si>
    <t>18mo runway needed</t>
  </si>
  <si>
    <t>R-005</t>
  </si>
  <si>
    <t>LLM API cost overrun (10x)</t>
  </si>
  <si>
    <t>Rate limiting, caching, model optimization</t>
  </si>
  <si>
    <t>Switch to cheaper open-source model</t>
  </si>
  <si>
    <t>Monitor weekly</t>
  </si>
  <si>
    <t>R-006</t>
  </si>
  <si>
    <t>Low user retention / poor PMF</t>
  </si>
  <si>
    <t>Weekly user interviews, rapid iteration</t>
  </si>
  <si>
    <t>Pivot feature set based on data</t>
  </si>
  <si>
    <t>Ongoing</t>
  </si>
  <si>
    <t>Track cohort retention</t>
  </si>
  <si>
    <t>R-007</t>
  </si>
  <si>
    <t>App Store rejection</t>
  </si>
  <si>
    <t>Review guidelines early, legal review</t>
  </si>
  <si>
    <t>Prioritize web app</t>
  </si>
  <si>
    <t>Apple strict on fintech</t>
  </si>
  <si>
    <t>R-008</t>
  </si>
  <si>
    <t>UPI integration delays</t>
  </si>
  <si>
    <t>Start RBI sandbox process early</t>
  </si>
  <si>
    <t>Manual bank statement import</t>
  </si>
  <si>
    <t>Critical feature</t>
  </si>
  <si>
    <t>R-009</t>
  </si>
  <si>
    <t>Competitor launches similar product</t>
  </si>
  <si>
    <t>Market</t>
  </si>
  <si>
    <t>Move fast, build moat in AI quality</t>
  </si>
  <si>
    <t>Double down on India-specific AI</t>
  </si>
  <si>
    <t>Monitor</t>
  </si>
  <si>
    <t>CRED, FI.Money watching</t>
  </si>
  <si>
    <t>R-010</t>
  </si>
  <si>
    <t>Founder burnout / co-founder conflict</t>
  </si>
  <si>
    <t>Organizational</t>
  </si>
  <si>
    <t>Clear roles, therapy, vacation policy</t>
  </si>
  <si>
    <t>Board intervention, equity restructure</t>
  </si>
  <si>
    <t>Quarterly</t>
  </si>
  <si>
    <t>Track founder health</t>
  </si>
  <si>
    <t>Meeting Notes &amp; Action Items</t>
  </si>
  <si>
    <t>All Hands · Investor · Sprint · 1:1 · Board</t>
  </si>
  <si>
    <t>Meeting Title</t>
  </si>
  <si>
    <t>Attendees</t>
  </si>
  <si>
    <t>Agenda</t>
  </si>
  <si>
    <t>Key Decisions</t>
  </si>
  <si>
    <t>Action Items</t>
  </si>
  <si>
    <t>Due Date</t>
  </si>
  <si>
    <t>Sprint 0 Kickoff</t>
  </si>
  <si>
    <t>All Hands</t>
  </si>
  <si>
    <t>All Team</t>
  </si>
  <si>
    <t>Architecture review, tooling decisions, sprint planning</t>
  </si>
  <si>
    <t>Chose Turborepo + FastAPI + Expo</t>
  </si>
  <si>
    <t>Set up repos, legal initiation</t>
  </si>
  <si>
    <t>Sprint 0 Retro / Sprint 1 Planning</t>
  </si>
  <si>
    <t>Eng Team</t>
  </si>
  <si>
    <t>Review S0, plan S1 backlog</t>
  </si>
  <si>
    <t>Carried 2 tasks to S1, added OTP spike</t>
  </si>
  <si>
    <t>Sprint board updated</t>
  </si>
  <si>
    <t>Investor Intro — Anand Lunia</t>
  </si>
  <si>
    <t>Investor</t>
  </si>
  <si>
    <t>Founder, Anand</t>
  </si>
  <si>
    <t>Pitch deck walkthrough, vision</t>
  </si>
  <si>
    <t>Interested, wants traction update in 6wks</t>
  </si>
  <si>
    <t>Send updated deck with India TAM slide</t>
  </si>
  <si>
    <t>Legal Setup Review</t>
  </si>
  <si>
    <t>Founder, CS Firm</t>
  </si>
  <si>
    <t>Incorporation status, DPIIT, PAN/TAN</t>
  </si>
  <si>
    <t>MCA done, DPIIT in process</t>
  </si>
  <si>
    <t>File GST by July 31</t>
  </si>
  <si>
    <t>Design Review — Sprint 1 Screens</t>
  </si>
  <si>
    <t>Founder, Designer, PM</t>
  </si>
  <si>
    <t>Review Figma for onboarding + expense screens</t>
  </si>
  <si>
    <t>Minor UX changes approved</t>
  </si>
  <si>
    <t>Update Figma + handoff to dev</t>
  </si>
  <si>
    <t>2025-07-27</t>
  </si>
  <si>
    <t>Sprint 1 Mid-Sprint Check</t>
  </si>
  <si>
    <t>Velocity check, blockers</t>
  </si>
  <si>
    <t>OTP integration blocked — SMS gateway delay</t>
  </si>
  <si>
    <t>Evaluate MSG91 as alternative</t>
  </si>
  <si>
    <t>AI Strategy Session</t>
  </si>
  <si>
    <t>Founder, AI Lead, PM</t>
  </si>
  <si>
    <t>AI feature prioritization, model choices</t>
  </si>
  <si>
    <t>Groq for speed, Gemini Flash for quality</t>
  </si>
  <si>
    <t>Update AI/ML tracker with decisions</t>
  </si>
  <si>
    <t>Marketing Strategy</t>
  </si>
  <si>
    <t>GTM</t>
  </si>
  <si>
    <t>Founder, CMO</t>
  </si>
  <si>
    <t>GTM plan, channel strategy, launch date</t>
  </si>
  <si>
    <t>Set Oct 1 soft launch target</t>
  </si>
  <si>
    <t>Finalize content calendar, hire influencer</t>
  </si>
  <si>
    <t>Decision Log</t>
  </si>
  <si>
    <t>Key Decisions · Context · Alternatives · Rationale · Reversibility</t>
  </si>
  <si>
    <t>Decision</t>
  </si>
  <si>
    <t>Context</t>
  </si>
  <si>
    <t>Options Considered</t>
  </si>
  <si>
    <t>Decision Made</t>
  </si>
  <si>
    <t>Rationale</t>
  </si>
  <si>
    <t>Reversible?</t>
  </si>
  <si>
    <t>Mobile framework choice</t>
  </si>
  <si>
    <t>Native vs cross-platform</t>
  </si>
  <si>
    <t>Flutter, React Native, Native</t>
  </si>
  <si>
    <t>React Native (Expo)</t>
  </si>
  <si>
    <t>Faster dev, JS ecosystem, Expo managed workflow</t>
  </si>
  <si>
    <t>Yes — expensive</t>
  </si>
  <si>
    <t>Backend language</t>
  </si>
  <si>
    <t>Scalability vs speed</t>
  </si>
  <si>
    <t>Django, FastAPI, Node.js</t>
  </si>
  <si>
    <t>FastAPI (Python)</t>
  </si>
  <si>
    <t>Best for AI integration, async support, fast</t>
  </si>
  <si>
    <t>Costly</t>
  </si>
  <si>
    <t>Primary LLM provider</t>
  </si>
  <si>
    <t>Cost, latency, quality</t>
  </si>
  <si>
    <t>OpenAI, Groq, Gemini, Together AI</t>
  </si>
  <si>
    <t>Groq = speed, Gemini Flash = quality+vision, both free tiers</t>
  </si>
  <si>
    <t>Easy</t>
  </si>
  <si>
    <t>Vector DB choice</t>
  </si>
  <si>
    <t>Local vs managed</t>
  </si>
  <si>
    <t>Pinecone, Weaviate, ChromaDB, FAISS</t>
  </si>
  <si>
    <t>ChromaDB (local) → Supabase pgvector</t>
  </si>
  <si>
    <t>ChromaDB free for MVP, pgvector for scale</t>
  </si>
  <si>
    <t>Cloud deployment</t>
  </si>
  <si>
    <t>Cost, simplicity</t>
  </si>
  <si>
    <t>AWS, GCP, Railway, Render</t>
  </si>
  <si>
    <t>Railway (API) + Vercel (Web)</t>
  </si>
  <si>
    <t>Free tiers sufficient for MVP, zero DevOps overhead</t>
  </si>
  <si>
    <t>Monetization model</t>
  </si>
  <si>
    <t>Revenue strategy</t>
  </si>
  <si>
    <t>Ads, Freemium, One-time, B2B</t>
  </si>
  <si>
    <t>Freemium (Free/Plus/Pro/Family)</t>
  </si>
  <si>
    <t>Proven in fintech (Mint, YNAB), recurring revenue</t>
  </si>
  <si>
    <t>Company structure</t>
  </si>
  <si>
    <t>India vs Singapore</t>
  </si>
  <si>
    <t>Pvt Ltd India, Singapore HoldCo</t>
  </si>
  <si>
    <t>India Pvt Ltd first</t>
  </si>
  <si>
    <t>Faster, cheaper, India-first product</t>
  </si>
  <si>
    <t>Database choice</t>
  </si>
  <si>
    <t>Relational vs NoSQL</t>
  </si>
  <si>
    <t>MongoDB, DynamoDB, PostgreSQL</t>
  </si>
  <si>
    <t>PostgreSQL (Supabase)</t>
  </si>
  <si>
    <t>ACID compliance critical for finance, free tier</t>
  </si>
  <si>
    <t>Analytics provider</t>
  </si>
  <si>
    <t>Cost + features</t>
  </si>
  <si>
    <t>Mixpanel, Amplitude, Firebase</t>
  </si>
  <si>
    <t>Mixpanel (free) + GA4</t>
  </si>
  <si>
    <t>Best event tracking for mobile+web, free tier</t>
  </si>
  <si>
    <t>SOP Repository</t>
  </si>
  <si>
    <t>Standard Operating Procedures · Process Library · Version Control</t>
  </si>
  <si>
    <t>SOP ID</t>
  </si>
  <si>
    <t>Last Updated</t>
  </si>
  <si>
    <t>Description</t>
  </si>
  <si>
    <t>SOP-001</t>
  </si>
  <si>
    <t>Engineering Deployment Process</t>
  </si>
  <si>
    <t>notion.so/sop1</t>
  </si>
  <si>
    <t>Step-by-step Railway deploy + rollback procedure</t>
  </si>
  <si>
    <t>SOP-002</t>
  </si>
  <si>
    <t>Sprint Ceremony Runbook</t>
  </si>
  <si>
    <t>notion.so/sop2</t>
  </si>
  <si>
    <t>Planning, standup, review, retro agenda templates</t>
  </si>
  <si>
    <t>SOP-003</t>
  </si>
  <si>
    <t>AI Prompt Review Process</t>
  </si>
  <si>
    <t>v1.1</t>
  </si>
  <si>
    <t>notion.so/sop3</t>
  </si>
  <si>
    <t>How to write, test, version, and retire prompts</t>
  </si>
  <si>
    <t>SOP-004</t>
  </si>
  <si>
    <t>Investor Outreach Process</t>
  </si>
  <si>
    <t>notion.so/sop4</t>
  </si>
  <si>
    <t>Research → warm intro → deck send → follow-up sequence</t>
  </si>
  <si>
    <t>SOP-005</t>
  </si>
  <si>
    <t>Hiring Process (End-to-End)</t>
  </si>
  <si>
    <t>2025-07-16</t>
  </si>
  <si>
    <t>notion.so/sop5</t>
  </si>
  <si>
    <t>JD → sourcing → screening → interview → offer process</t>
  </si>
  <si>
    <t>SOP-006</t>
  </si>
  <si>
    <t>Customer Support Escalation</t>
  </si>
  <si>
    <t>notion.so/sop6</t>
  </si>
  <si>
    <t>L1 → L2 → L3 escalation, SLA definitions</t>
  </si>
  <si>
    <t>SOP-007</t>
  </si>
  <si>
    <t>Security Incident Response</t>
  </si>
  <si>
    <t>notion.so/sop7</t>
  </si>
  <si>
    <t>Detection → triage → containment → post-mortem</t>
  </si>
  <si>
    <t>SOP-008</t>
  </si>
  <si>
    <t>Content Creation + Publishing</t>
  </si>
  <si>
    <t>notion.so/sop8</t>
  </si>
  <si>
    <t>Brief → draft → review → publish → distribute</t>
  </si>
  <si>
    <t>SOP-009</t>
  </si>
  <si>
    <t>Legal Document Review</t>
  </si>
  <si>
    <t>notion.so/sop9</t>
  </si>
  <si>
    <t>Any legal doc must be reviewed by lawyer before signing</t>
  </si>
  <si>
    <t>SOP-010</t>
  </si>
  <si>
    <t>Monthly Financial Close</t>
  </si>
  <si>
    <t>notion.so/sop10</t>
  </si>
  <si>
    <t>Month-end books close, burn update, board report</t>
  </si>
  <si>
    <t>Competitive Analysis</t>
  </si>
  <si>
    <t>India Fintech Landscape · Feature Matrix · Positioning</t>
  </si>
  <si>
    <t>Competitor</t>
  </si>
  <si>
    <t>Target Segment</t>
  </si>
  <si>
    <t>Key Features</t>
  </si>
  <si>
    <t>AI Features</t>
  </si>
  <si>
    <t>Pricing</t>
  </si>
  <si>
    <t>MAU (est)</t>
  </si>
  <si>
    <t>Funding</t>
  </si>
  <si>
    <t>Weakness</t>
  </si>
  <si>
    <t>Our Advantage</t>
  </si>
  <si>
    <t>Threat Level</t>
  </si>
  <si>
    <t>Fintech App</t>
  </si>
  <si>
    <t>Premium Credit Card users</t>
  </si>
  <si>
    <t>Bill pay, rewards, CREDcoin</t>
  </si>
  <si>
    <t>Basic insights</t>
  </si>
  <si>
    <t>25M</t>
  </si>
  <si>
    <t>$800M</t>
  </si>
  <si>
    <t>Credit card only, not budgeting</t>
  </si>
  <si>
    <t>Family + budgeting + AI depth</t>
  </si>
  <si>
    <t>Fi.Money</t>
  </si>
  <si>
    <t>Neobank</t>
  </si>
  <si>
    <t>Salaried millennials</t>
  </si>
  <si>
    <t>Savings account, spends, goals</t>
  </si>
  <si>
    <t>Smart FIT cards</t>
  </si>
  <si>
    <t>3M</t>
  </si>
  <si>
    <t>$100M</t>
  </si>
  <si>
    <t>Neo-bank model, not full finance</t>
  </si>
  <si>
    <t>Pure AI advisor + no banking lock-in</t>
  </si>
  <si>
    <t>Walnut</t>
  </si>
  <si>
    <t>Finance App</t>
  </si>
  <si>
    <t>Budget-conscious users</t>
  </si>
  <si>
    <t>Expense tracking, budgets</t>
  </si>
  <si>
    <t>Free/Premium</t>
  </si>
  <si>
    <t>2M</t>
  </si>
  <si>
    <t>$10M</t>
  </si>
  <si>
    <t>Dated UI, no AI</t>
  </si>
  <si>
    <t>Modern AI-first UX + family features</t>
  </si>
  <si>
    <t>Money View</t>
  </si>
  <si>
    <t>Credit + savings</t>
  </si>
  <si>
    <t>Credit score, loans, savings</t>
  </si>
  <si>
    <t>Basic</t>
  </si>
  <si>
    <t>10M</t>
  </si>
  <si>
    <t>$250M</t>
  </si>
  <si>
    <t>Lending focused, not holistic</t>
  </si>
  <si>
    <t>Full holistic AI advisor</t>
  </si>
  <si>
    <t>ET Money</t>
  </si>
  <si>
    <t>Investment App</t>
  </si>
  <si>
    <t>Investors</t>
  </si>
  <si>
    <t>Mutual funds, NPS, insurance</t>
  </si>
  <si>
    <t>5M</t>
  </si>
  <si>
    <t>$30M</t>
  </si>
  <si>
    <t>Investment only, not budgeting</t>
  </si>
  <si>
    <t>All-in-one budget + invest + AI</t>
  </si>
  <si>
    <t>Paytm Money</t>
  </si>
  <si>
    <t>Mass market</t>
  </si>
  <si>
    <t>Stocks, MF, gold</t>
  </si>
  <si>
    <t>8M</t>
  </si>
  <si>
    <t>Part of Paytm</t>
  </si>
  <si>
    <t>Paytm brand issues, complex UX</t>
  </si>
  <si>
    <t>Simple + trustworthy AI advisor</t>
  </si>
  <si>
    <t>Groww</t>
  </si>
  <si>
    <t>Young investors</t>
  </si>
  <si>
    <t>Stocks, MF, ETF</t>
  </si>
  <si>
    <t>15M</t>
  </si>
  <si>
    <t>$3B</t>
  </si>
  <si>
    <t>No budgeting, no AI insights</t>
  </si>
  <si>
    <t>AI + budgeting + investing combined</t>
  </si>
  <si>
    <t>Spendee</t>
  </si>
  <si>
    <t>Global Finance App</t>
  </si>
  <si>
    <t>Expats, tech users</t>
  </si>
  <si>
    <t>Multi-currency tracking</t>
  </si>
  <si>
    <t>500K</t>
  </si>
  <si>
    <t>Bootstrapped</t>
  </si>
  <si>
    <t>Not India-first, no UPI</t>
  </si>
  <si>
    <t>India-first + UPI + Hindi</t>
  </si>
  <si>
    <t>User Research</t>
  </si>
  <si>
    <t>Personas · Interviews · Pain Points · Jobs-to-Be-Done</t>
  </si>
  <si>
    <t>USER PERSONAS</t>
  </si>
  <si>
    <t>Persona</t>
  </si>
  <si>
    <t>Age</t>
  </si>
  <si>
    <t>Occupation</t>
  </si>
  <si>
    <t>City Tier</t>
  </si>
  <si>
    <t>Income (₹/mo)</t>
  </si>
  <si>
    <t>Pain Points</t>
  </si>
  <si>
    <t>Tech Savviness</t>
  </si>
  <si>
    <t>Key Feature Need</t>
  </si>
  <si>
    <t>Quote</t>
  </si>
  <si>
    <t>Priya — The Salaried Professional</t>
  </si>
  <si>
    <t>28</t>
  </si>
  <si>
    <t>Software Engineer</t>
  </si>
  <si>
    <t>Tier 1 (Bangalore)</t>
  </si>
  <si>
    <t>80,000</t>
  </si>
  <si>
    <t>Overspending on food/Zomato, no savings habit</t>
  </si>
  <si>
    <t>Save ₹20k/mo, invest in MF</t>
  </si>
  <si>
    <t>AI expense coach, budget alerts</t>
  </si>
  <si>
    <t>I know I overspend but I never know WHERE</t>
  </si>
  <si>
    <t>Ramesh — The Family CFO</t>
  </si>
  <si>
    <t>Mid-level Manager</t>
  </si>
  <si>
    <t>Tier 2 (Pune)</t>
  </si>
  <si>
    <t>120,000</t>
  </si>
  <si>
    <t>No visibility into family spending, kids education cost</t>
  </si>
  <si>
    <t>Plan for children's education + retirement</t>
  </si>
  <si>
    <t>Family finance hub, goal planner</t>
  </si>
  <si>
    <t>My wife and I have no idea where our money goes</t>
  </si>
  <si>
    <t>Sneha — The New Earner</t>
  </si>
  <si>
    <t>23</t>
  </si>
  <si>
    <t>Fresher / Junior Dev</t>
  </si>
  <si>
    <t>Tier 1 (Hyderabad)</t>
  </si>
  <si>
    <t>35,000</t>
  </si>
  <si>
    <t>No financial knowledge, EMI traps</t>
  </si>
  <si>
    <t>Learn to manage money, build emergency fund</t>
  </si>
  <si>
    <t>Financial health score, education</t>
  </si>
  <si>
    <t>I just started earning — I don't know what to do</t>
  </si>
  <si>
    <t>Vikram — The Business Owner</t>
  </si>
  <si>
    <t>SME Owner</t>
  </si>
  <si>
    <t>Tier 2 (Ahmedabad)</t>
  </si>
  <si>
    <t>300,000</t>
  </si>
  <si>
    <t>Mix of personal and business expenses</t>
  </si>
  <si>
    <t>Separate personal finance, tax planning</t>
  </si>
  <si>
    <t>Expense categorization, tax insights</t>
  </si>
  <si>
    <t>My CA tells me I have bad personal finance habits</t>
  </si>
  <si>
    <t>Meena — Regional Language User</t>
  </si>
  <si>
    <t>Homemaker</t>
  </si>
  <si>
    <t>Tier 3 (Madurai)</t>
  </si>
  <si>
    <t>45,000 (HH)</t>
  </si>
  <si>
    <t>English-only apps don't work, husband manages all money</t>
  </si>
  <si>
    <t>Understand family finances, save for gold</t>
  </si>
  <si>
    <t>Hindi/Tamil UI, voice assistant</t>
  </si>
  <si>
    <t>I want to understand our money but I can't read English</t>
  </si>
  <si>
    <t>USER INTERVIEW LOG</t>
  </si>
  <si>
    <t>Interview #</t>
  </si>
  <si>
    <t>Persona Match</t>
  </si>
  <si>
    <t>Top Pain Point</t>
  </si>
  <si>
    <t>Top Feature Request</t>
  </si>
  <si>
    <t>WTP (₹/mo)</t>
  </si>
  <si>
    <t>Would Recommend?</t>
  </si>
  <si>
    <t>NPS (0-10)</t>
  </si>
  <si>
    <t>Key Insight</t>
  </si>
  <si>
    <t>INT-001</t>
  </si>
  <si>
    <t>Salaried Professional</t>
  </si>
  <si>
    <t>Video Call (Zoom)</t>
  </si>
  <si>
    <t>Can't track UPI spends automatically</t>
  </si>
  <si>
    <t>Auto UPI sync</t>
  </si>
  <si>
    <t>Pain is real — people check bank statements monthly</t>
  </si>
  <si>
    <t>INT-002</t>
  </si>
  <si>
    <t>Family CFO</t>
  </si>
  <si>
    <t>In-person</t>
  </si>
  <si>
    <t>Family members spend without visibility</t>
  </si>
  <si>
    <t>Shared family dashboard</t>
  </si>
  <si>
    <t>299</t>
  </si>
  <si>
    <t>Huge TAM in family finance management</t>
  </si>
  <si>
    <t>INT-003</t>
  </si>
  <si>
    <t>New Earner</t>
  </si>
  <si>
    <t>WhatsApp Video</t>
  </si>
  <si>
    <t>Don't know what to invest in</t>
  </si>
  <si>
    <t>AI that tells me what to do</t>
  </si>
  <si>
    <t>149</t>
  </si>
  <si>
    <t>Need hand-holding, not just data</t>
  </si>
  <si>
    <t>INT-004</t>
  </si>
  <si>
    <t>2025-07-23</t>
  </si>
  <si>
    <t>Video Call</t>
  </si>
  <si>
    <t>Too many apps for different things</t>
  </si>
  <si>
    <t>All-in-one app</t>
  </si>
  <si>
    <t>Consolidation is the killer value prop</t>
  </si>
  <si>
    <t>INT-005</t>
  </si>
  <si>
    <t>2025-07-24</t>
  </si>
  <si>
    <t>Regional User</t>
  </si>
  <si>
    <t>In-person (Pune)</t>
  </si>
  <si>
    <t>English UI doesn't work for family members</t>
  </si>
  <si>
    <t>Hindi voice assistant</t>
  </si>
  <si>
    <t>99</t>
  </si>
  <si>
    <t>Unsure</t>
  </si>
  <si>
    <t>Regional language is a massive differentiator</t>
  </si>
  <si>
    <t>INT-006</t>
  </si>
  <si>
    <t>Business Owner</t>
  </si>
  <si>
    <t>Personal vs business expenses mixed</t>
  </si>
  <si>
    <t>Smart expense tagging</t>
  </si>
  <si>
    <t>Pro tier opportunity — business-linked finance</t>
  </si>
  <si>
    <t>Growth Experiments</t>
  </si>
  <si>
    <t>A/B Tests · Viral Loops · Referral · Retention Experiments</t>
  </si>
  <si>
    <t>Exp ID</t>
  </si>
  <si>
    <t>Hypothesis</t>
  </si>
  <si>
    <t>Control</t>
  </si>
  <si>
    <t>Variant</t>
  </si>
  <si>
    <t>Sample Size</t>
  </si>
  <si>
    <t>Result</t>
  </si>
  <si>
    <t>Winner</t>
  </si>
  <si>
    <t>Next Action</t>
  </si>
  <si>
    <t>EXP-001</t>
  </si>
  <si>
    <t>Adding progress bar to onboarding will increase completion rate</t>
  </si>
  <si>
    <t>Onboarding completion %</t>
  </si>
  <si>
    <t>81%</t>
  </si>
  <si>
    <t>500 users</t>
  </si>
  <si>
    <t>7 days</t>
  </si>
  <si>
    <t>Variant won +13pp</t>
  </si>
  <si>
    <t>Shipped</t>
  </si>
  <si>
    <t>Shipped to 100% users</t>
  </si>
  <si>
    <t>EXP-002</t>
  </si>
  <si>
    <t>WhatsApp reminder for inactive users will improve D7 retention</t>
  </si>
  <si>
    <t>D7 retention</t>
  </si>
  <si>
    <t>31%</t>
  </si>
  <si>
    <t>300 users</t>
  </si>
  <si>
    <t>14 days</t>
  </si>
  <si>
    <t>Variant won +9pp</t>
  </si>
  <si>
    <t>Added to FCM flow</t>
  </si>
  <si>
    <t>EXP-003</t>
  </si>
  <si>
    <t>Showing financial health score on home screen vs buried in profile</t>
  </si>
  <si>
    <t>DAU engagement</t>
  </si>
  <si>
    <t>2.1 sessions</t>
  </si>
  <si>
    <t>2.8 sessions</t>
  </si>
  <si>
    <t>600 users</t>
  </si>
  <si>
    <t>Variant won +0.7 sessions</t>
  </si>
  <si>
    <t>Moved health score to home</t>
  </si>
  <si>
    <t>EXP-004</t>
  </si>
  <si>
    <t>Referral reward ₹50 vs ₹100 cashback</t>
  </si>
  <si>
    <t>Referral conversion rate</t>
  </si>
  <si>
    <t>7.8%</t>
  </si>
  <si>
    <t>400 users</t>
  </si>
  <si>
    <t>₹100 wins but unit econ poor</t>
  </si>
  <si>
    <t>Learning</t>
  </si>
  <si>
    <t>Test ₹75 next</t>
  </si>
  <si>
    <t>EXP-005</t>
  </si>
  <si>
    <t>Personalized onboarding (ask goals first) vs generic</t>
  </si>
  <si>
    <t>Activation rate (adds 1st expense)</t>
  </si>
  <si>
    <t>52%</t>
  </si>
  <si>
    <t>Variant won +14pp</t>
  </si>
  <si>
    <t>Goal-first onboarding live</t>
  </si>
  <si>
    <t>EXP-006</t>
  </si>
  <si>
    <t>AI suggestion card on budget overspend</t>
  </si>
  <si>
    <t>Budget adherence next week</t>
  </si>
  <si>
    <t>baseline</t>
  </si>
  <si>
    <t>running</t>
  </si>
  <si>
    <t>1000 users</t>
  </si>
  <si>
    <t>21 days</t>
  </si>
  <si>
    <t>TBD</t>
  </si>
  <si>
    <t>Running</t>
  </si>
  <si>
    <t>Check at D21</t>
  </si>
  <si>
    <t>EXP-007</t>
  </si>
  <si>
    <t>Hindi push notification vs English for Tier 2 users</t>
  </si>
  <si>
    <t>CTR on notifications</t>
  </si>
  <si>
    <t>9%</t>
  </si>
  <si>
    <t>Segmented by phone language</t>
  </si>
  <si>
    <t>EXP-008</t>
  </si>
  <si>
    <t>Social proof on upgrade screen (X users upgraded this week)</t>
  </si>
  <si>
    <t>Upgrade CVR</t>
  </si>
  <si>
    <t>1.8%</t>
  </si>
  <si>
    <t>planned</t>
  </si>
  <si>
    <t>FOMO + social proof test</t>
  </si>
  <si>
    <t>EXPERIMENT METRICS</t>
  </si>
  <si>
    <t>Total Experiments Run</t>
  </si>
  <si>
    <t>Win Rate</t>
  </si>
  <si>
    <t>Currently Running</t>
  </si>
  <si>
    <t>Shipped to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</si>
</sst>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₹#,##0"/>
    <numFmt numFmtId="166" formatCode="0.0\x"/>
    <numFmt numFmtId="167" formatCode="0.0%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94A3B8"/>
      <name val="Arial"/>
      <charset val="1"/>
    </font>
    <font>
      <i/>
      <sz val="8"/>
      <color rgb="FF64748B"/>
      <name val="Arial"/>
      <charset val="1"/>
    </font>
    <font>
      <b/>
      <sz val="11"/>
      <color rgb="FFFFFFFF"/>
      <name val="Arial"/>
      <charset val="1"/>
    </font>
    <font>
      <b/>
      <sz val="11"/>
      <color rgb="FF00C2FF"/>
      <name val="Arial"/>
      <charset val="1"/>
    </font>
    <font>
      <sz val="10"/>
      <color rgb="FF1A202C"/>
      <name val="Arial"/>
      <charset val="1"/>
    </font>
    <font>
      <b/>
      <sz val="10"/>
      <color rgb="FF1A202C"/>
      <name val="Arial"/>
      <charset val="1"/>
    </font>
    <font>
      <b/>
      <sz val="10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117"/>
        <bgColor rgb="FF0F172A"/>
      </patternFill>
    </fill>
    <fill>
      <patternFill patternType="solid">
        <fgColor rgb="FF1E293B"/>
        <bgColor rgb="FF1A202C"/>
      </patternFill>
    </fill>
    <fill>
      <patternFill patternType="solid">
        <fgColor rgb="FF0F172A"/>
        <bgColor rgb="FF0D1117"/>
      </patternFill>
    </fill>
    <fill>
      <patternFill patternType="solid">
        <fgColor rgb="FFF4F6FA"/>
        <bgColor rgb="FFFFFFFF"/>
      </patternFill>
    </fill>
    <fill>
      <patternFill patternType="solid">
        <fgColor rgb="FF7B2FBE"/>
        <bgColor rgb="FF333399"/>
      </patternFill>
    </fill>
    <fill>
      <patternFill patternType="solid">
        <fgColor rgb="FFDCFCE7"/>
        <bgColor rgb="FFF4F6FA"/>
      </patternFill>
    </fill>
    <fill>
      <patternFill patternType="solid">
        <fgColor rgb="FFFEF9C3"/>
        <bgColor rgb="FFFFFF99"/>
      </patternFill>
    </fill>
    <fill>
      <patternFill patternType="solid">
        <fgColor rgb="FFDBEAFE"/>
        <bgColor rgb="FFDCFCE7"/>
      </patternFill>
    </fill>
    <fill>
      <patternFill patternType="solid">
        <fgColor rgb="FFFEE2E2"/>
        <bgColor rgb="FFF4F6FA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3" borderId="0" xfId="0" applyFont="1" applyFill="1"/>
    <xf numFmtId="0" fontId="6" fillId="0" borderId="1" xfId="0" applyFont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ill="1"/>
    <xf numFmtId="0" fontId="6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0" borderId="1" xfId="0" applyFont="1" applyBorder="1"/>
    <xf numFmtId="0" fontId="8" fillId="6" borderId="1" xfId="0" applyFont="1" applyFill="1" applyBorder="1" applyAlignment="1">
      <alignment horizontal="center" vertical="center" wrapText="1"/>
    </xf>
    <xf numFmtId="9" fontId="6" fillId="5" borderId="1" xfId="0" applyNumberFormat="1" applyFont="1" applyFill="1" applyBorder="1" applyAlignment="1">
      <alignment horizontal="left" vertical="center" wrapText="1"/>
    </xf>
    <xf numFmtId="9" fontId="6" fillId="0" borderId="1" xfId="0" applyNumberFormat="1" applyFont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/>
    <xf numFmtId="9" fontId="6" fillId="0" borderId="1" xfId="0" applyNumberFormat="1" applyFont="1" applyBorder="1"/>
    <xf numFmtId="165" fontId="6" fillId="5" borderId="1" xfId="0" applyNumberFormat="1" applyFont="1" applyFill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165" fontId="8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/>
    <xf numFmtId="166" fontId="6" fillId="0" borderId="1" xfId="0" applyNumberFormat="1" applyFont="1" applyBorder="1" applyAlignment="1">
      <alignment horizontal="left" vertical="center" wrapText="1"/>
    </xf>
    <xf numFmtId="166" fontId="6" fillId="5" borderId="1" xfId="0" applyNumberFormat="1" applyFont="1" applyFill="1" applyBorder="1" applyAlignment="1">
      <alignment horizontal="left" vertical="center" wrapText="1"/>
    </xf>
    <xf numFmtId="167" fontId="6" fillId="5" borderId="1" xfId="0" applyNumberFormat="1" applyFont="1" applyFill="1" applyBorder="1" applyAlignment="1">
      <alignment horizontal="left" vertical="center" wrapText="1"/>
    </xf>
    <xf numFmtId="167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sz val="10"/>
        <color rgb="FFFFFFFF"/>
        <name val="Arial"/>
        <charset val="1"/>
      </font>
      <fill>
        <patternFill>
          <bgColor rgb="FF94A3B8"/>
        </patternFill>
      </fill>
    </dxf>
    <dxf>
      <font>
        <b/>
        <sz val="10"/>
        <color rgb="FFFFFFFF"/>
        <name val="Arial"/>
        <charset val="1"/>
      </font>
      <fill>
        <patternFill>
          <bgColor rgb="FFEF4444"/>
        </patternFill>
      </fill>
    </dxf>
    <dxf>
      <font>
        <b/>
        <sz val="10"/>
        <color rgb="FFFFFFFF"/>
        <name val="Arial"/>
        <charset val="1"/>
      </font>
      <fill>
        <patternFill>
          <bgColor rgb="FF3B82F6"/>
        </patternFill>
      </fill>
    </dxf>
    <dxf>
      <font>
        <b/>
        <sz val="10"/>
        <color rgb="FFFFFFFF"/>
        <name val="Arial"/>
        <charset val="1"/>
      </font>
      <fill>
        <patternFill>
          <bgColor rgb="FF22C55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855F7"/>
      <rgbColor rgb="FF7B2FBE"/>
      <rgbColor rgb="FFFEF9C3"/>
      <rgbColor rgb="FFDCFCE7"/>
      <rgbColor rgb="FF660066"/>
      <rgbColor rgb="FFEC4899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2FF"/>
      <rgbColor rgb="FFDBEAFE"/>
      <rgbColor rgb="FFF4F6FA"/>
      <rgbColor rgb="FFFFFF99"/>
      <rgbColor rgb="FF99CCFF"/>
      <rgbColor rgb="FFFF99CC"/>
      <rgbColor rgb="FFCC99FF"/>
      <rgbColor rgb="FFFEE2E2"/>
      <rgbColor rgb="FF3B82F6"/>
      <rgbColor rgb="FF14B8A6"/>
      <rgbColor rgb="FF99CC00"/>
      <rgbColor rgb="FFFACC15"/>
      <rgbColor rgb="FFFF9900"/>
      <rgbColor rgb="FFF97316"/>
      <rgbColor rgb="FF64748B"/>
      <rgbColor rgb="FF94A3B8"/>
      <rgbColor rgb="FF0D1117"/>
      <rgbColor rgb="FF22C55E"/>
      <rgbColor rgb="FF0F172A"/>
      <rgbColor rgb="FF1A202C"/>
      <rgbColor rgb="FF993300"/>
      <rgbColor rgb="FFEF4444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117"/>
  </sheetPr>
  <dimension ref="A1:H50"/>
  <sheetViews>
    <sheetView zoomScaleNormal="100" workbookViewId="0"/>
  </sheetViews>
  <sheetFormatPr defaultColWidth="8.6328125" defaultRowHeight="14.5" x14ac:dyDescent="0.35"/>
  <cols>
    <col min="1" max="1" width="28" customWidth="1"/>
    <col min="2" max="2" width="62" customWidth="1"/>
    <col min="3" max="8" width="16" customWidth="1"/>
  </cols>
  <sheetData>
    <row r="1" spans="1:8" ht="39.75" customHeight="1" x14ac:dyDescent="0.35">
      <c r="A1" s="7" t="s">
        <v>0</v>
      </c>
      <c r="B1" s="7"/>
      <c r="C1" s="7"/>
      <c r="D1" s="7"/>
      <c r="E1" s="7"/>
      <c r="F1" s="7"/>
      <c r="G1" s="7"/>
      <c r="H1" s="7"/>
    </row>
    <row r="2" spans="1:8" ht="21.75" customHeight="1" x14ac:dyDescent="0.35">
      <c r="A2" s="6" t="s">
        <v>1</v>
      </c>
      <c r="B2" s="6"/>
      <c r="C2" s="6"/>
      <c r="D2" s="6"/>
      <c r="E2" s="6"/>
      <c r="F2" s="6"/>
      <c r="G2" s="6"/>
      <c r="H2" s="6"/>
    </row>
    <row r="3" spans="1:8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</row>
    <row r="4" spans="1:8" ht="9.75" customHeight="1" x14ac:dyDescent="0.35"/>
    <row r="5" spans="1:8" ht="19.5" customHeight="1" x14ac:dyDescent="0.35">
      <c r="A5" s="8" t="s">
        <v>3</v>
      </c>
      <c r="B5" s="8" t="s">
        <v>4</v>
      </c>
      <c r="C5" s="8" t="s">
        <v>5</v>
      </c>
      <c r="D5" s="9"/>
      <c r="E5" s="9"/>
      <c r="F5" s="9"/>
      <c r="G5" s="9"/>
      <c r="H5" s="9"/>
    </row>
    <row r="6" spans="1:8" ht="15" customHeight="1" x14ac:dyDescent="0.35">
      <c r="A6" s="4" t="s">
        <v>6</v>
      </c>
      <c r="B6" s="4"/>
      <c r="C6" s="4"/>
      <c r="D6" s="4"/>
      <c r="E6" s="4"/>
      <c r="F6" s="4"/>
      <c r="G6" s="4"/>
      <c r="H6" s="4"/>
    </row>
    <row r="7" spans="1:8" ht="15" customHeight="1" x14ac:dyDescent="0.35">
      <c r="A7" s="10" t="s">
        <v>7</v>
      </c>
      <c r="B7" s="10" t="s">
        <v>8</v>
      </c>
      <c r="C7" s="10"/>
    </row>
    <row r="8" spans="1:8" ht="15" customHeight="1" x14ac:dyDescent="0.35">
      <c r="A8" s="11" t="s">
        <v>9</v>
      </c>
      <c r="B8" s="11" t="s">
        <v>10</v>
      </c>
      <c r="C8" s="11"/>
    </row>
    <row r="9" spans="1:8" ht="15" customHeight="1" x14ac:dyDescent="0.35">
      <c r="A9" s="10" t="s">
        <v>11</v>
      </c>
      <c r="B9" s="10" t="s">
        <v>12</v>
      </c>
      <c r="C9" s="10"/>
    </row>
    <row r="10" spans="1:8" ht="15" customHeight="1" x14ac:dyDescent="0.35">
      <c r="A10" s="11" t="s">
        <v>13</v>
      </c>
      <c r="B10" s="11" t="s">
        <v>14</v>
      </c>
      <c r="C10" s="11"/>
    </row>
    <row r="11" spans="1:8" ht="15" customHeight="1" x14ac:dyDescent="0.35">
      <c r="A11" s="10"/>
      <c r="B11" s="10"/>
      <c r="C11" s="10"/>
    </row>
    <row r="12" spans="1:8" ht="15" customHeight="1" x14ac:dyDescent="0.35">
      <c r="A12" s="4" t="s">
        <v>15</v>
      </c>
      <c r="B12" s="4"/>
      <c r="C12" s="4"/>
      <c r="D12" s="4"/>
      <c r="E12" s="4"/>
      <c r="F12" s="4"/>
      <c r="G12" s="4"/>
      <c r="H12" s="4"/>
    </row>
    <row r="13" spans="1:8" ht="15" customHeight="1" x14ac:dyDescent="0.35">
      <c r="A13" s="10" t="s">
        <v>16</v>
      </c>
      <c r="B13" s="10" t="s">
        <v>17</v>
      </c>
      <c r="C13" s="10" t="s">
        <v>18</v>
      </c>
    </row>
    <row r="14" spans="1:8" ht="15" customHeight="1" x14ac:dyDescent="0.35">
      <c r="A14" s="11" t="s">
        <v>19</v>
      </c>
      <c r="B14" s="11" t="s">
        <v>20</v>
      </c>
      <c r="C14" s="11" t="s">
        <v>18</v>
      </c>
    </row>
    <row r="15" spans="1:8" ht="15" customHeight="1" x14ac:dyDescent="0.35">
      <c r="A15" s="10" t="s">
        <v>21</v>
      </c>
      <c r="B15" s="10" t="s">
        <v>22</v>
      </c>
      <c r="C15" s="10" t="s">
        <v>18</v>
      </c>
    </row>
    <row r="16" spans="1:8" ht="15" customHeight="1" x14ac:dyDescent="0.35">
      <c r="A16" s="11" t="s">
        <v>23</v>
      </c>
      <c r="B16" s="11" t="s">
        <v>24</v>
      </c>
      <c r="C16" s="11" t="s">
        <v>18</v>
      </c>
    </row>
    <row r="17" spans="1:3" ht="15" customHeight="1" x14ac:dyDescent="0.35">
      <c r="A17" s="10" t="s">
        <v>25</v>
      </c>
      <c r="B17" s="10" t="s">
        <v>26</v>
      </c>
      <c r="C17" s="10" t="s">
        <v>27</v>
      </c>
    </row>
    <row r="18" spans="1:3" ht="15" customHeight="1" x14ac:dyDescent="0.35">
      <c r="A18" s="11" t="s">
        <v>28</v>
      </c>
      <c r="B18" s="11" t="s">
        <v>29</v>
      </c>
      <c r="C18" s="11" t="s">
        <v>30</v>
      </c>
    </row>
    <row r="19" spans="1:3" ht="15" customHeight="1" x14ac:dyDescent="0.35">
      <c r="A19" s="10" t="s">
        <v>31</v>
      </c>
      <c r="B19" s="10" t="s">
        <v>32</v>
      </c>
      <c r="C19" s="10" t="s">
        <v>33</v>
      </c>
    </row>
    <row r="20" spans="1:3" ht="15" customHeight="1" x14ac:dyDescent="0.35">
      <c r="A20" s="11" t="s">
        <v>34</v>
      </c>
      <c r="B20" s="11" t="s">
        <v>35</v>
      </c>
      <c r="C20" s="11" t="s">
        <v>36</v>
      </c>
    </row>
    <row r="21" spans="1:3" ht="15" customHeight="1" x14ac:dyDescent="0.35">
      <c r="A21" s="10" t="s">
        <v>37</v>
      </c>
      <c r="B21" s="10" t="s">
        <v>38</v>
      </c>
      <c r="C21" s="10" t="s">
        <v>33</v>
      </c>
    </row>
    <row r="22" spans="1:3" ht="15" customHeight="1" x14ac:dyDescent="0.35">
      <c r="A22" s="11" t="s">
        <v>39</v>
      </c>
      <c r="B22" s="11" t="s">
        <v>40</v>
      </c>
      <c r="C22" s="11" t="s">
        <v>41</v>
      </c>
    </row>
    <row r="23" spans="1:3" ht="15" customHeight="1" x14ac:dyDescent="0.35">
      <c r="A23" s="10" t="s">
        <v>42</v>
      </c>
      <c r="B23" s="10" t="s">
        <v>43</v>
      </c>
      <c r="C23" s="10" t="s">
        <v>44</v>
      </c>
    </row>
    <row r="24" spans="1:3" ht="15" customHeight="1" x14ac:dyDescent="0.35">
      <c r="A24" s="11" t="s">
        <v>45</v>
      </c>
      <c r="B24" s="11" t="s">
        <v>46</v>
      </c>
      <c r="C24" s="11" t="s">
        <v>47</v>
      </c>
    </row>
    <row r="25" spans="1:3" ht="15" customHeight="1" x14ac:dyDescent="0.35">
      <c r="A25" s="10" t="s">
        <v>48</v>
      </c>
      <c r="B25" s="10" t="s">
        <v>49</v>
      </c>
      <c r="C25" s="10" t="s">
        <v>50</v>
      </c>
    </row>
    <row r="26" spans="1:3" ht="15" customHeight="1" x14ac:dyDescent="0.35">
      <c r="A26" s="11" t="s">
        <v>51</v>
      </c>
      <c r="B26" s="11" t="s">
        <v>52</v>
      </c>
      <c r="C26" s="11" t="s">
        <v>53</v>
      </c>
    </row>
    <row r="27" spans="1:3" ht="15" customHeight="1" x14ac:dyDescent="0.35">
      <c r="A27" s="10" t="s">
        <v>54</v>
      </c>
      <c r="B27" s="10" t="s">
        <v>55</v>
      </c>
      <c r="C27" s="10" t="s">
        <v>56</v>
      </c>
    </row>
    <row r="28" spans="1:3" ht="15" customHeight="1" x14ac:dyDescent="0.35">
      <c r="A28" s="11" t="s">
        <v>57</v>
      </c>
      <c r="B28" s="11" t="s">
        <v>58</v>
      </c>
      <c r="C28" s="11" t="s">
        <v>56</v>
      </c>
    </row>
    <row r="29" spans="1:3" ht="15" customHeight="1" x14ac:dyDescent="0.35">
      <c r="A29" s="10" t="s">
        <v>59</v>
      </c>
      <c r="B29" s="10" t="s">
        <v>60</v>
      </c>
      <c r="C29" s="10" t="s">
        <v>61</v>
      </c>
    </row>
    <row r="30" spans="1:3" ht="15" customHeight="1" x14ac:dyDescent="0.35">
      <c r="A30" s="11" t="s">
        <v>62</v>
      </c>
      <c r="B30" s="11" t="s">
        <v>63</v>
      </c>
      <c r="C30" s="11" t="s">
        <v>61</v>
      </c>
    </row>
    <row r="31" spans="1:3" ht="15" customHeight="1" x14ac:dyDescent="0.35">
      <c r="A31" s="10" t="s">
        <v>64</v>
      </c>
      <c r="B31" s="10" t="s">
        <v>65</v>
      </c>
      <c r="C31" s="10" t="s">
        <v>66</v>
      </c>
    </row>
    <row r="32" spans="1:3" ht="15" customHeight="1" x14ac:dyDescent="0.35">
      <c r="A32" s="11" t="s">
        <v>67</v>
      </c>
      <c r="B32" s="11" t="s">
        <v>68</v>
      </c>
      <c r="C32" s="11" t="s">
        <v>69</v>
      </c>
    </row>
    <row r="33" spans="1:8" ht="15" customHeight="1" x14ac:dyDescent="0.35">
      <c r="A33" s="10" t="s">
        <v>70</v>
      </c>
      <c r="B33" s="10" t="s">
        <v>71</v>
      </c>
      <c r="C33" s="10" t="s">
        <v>72</v>
      </c>
    </row>
    <row r="34" spans="1:8" ht="15" customHeight="1" x14ac:dyDescent="0.35">
      <c r="A34" s="11" t="s">
        <v>73</v>
      </c>
      <c r="B34" s="11" t="s">
        <v>74</v>
      </c>
      <c r="C34" s="11" t="s">
        <v>75</v>
      </c>
    </row>
    <row r="35" spans="1:8" ht="15" customHeight="1" x14ac:dyDescent="0.35">
      <c r="A35" s="10" t="s">
        <v>76</v>
      </c>
      <c r="B35" s="10" t="s">
        <v>77</v>
      </c>
      <c r="C35" s="10" t="s">
        <v>56</v>
      </c>
    </row>
    <row r="36" spans="1:8" ht="15" customHeight="1" x14ac:dyDescent="0.35">
      <c r="A36" s="11" t="s">
        <v>78</v>
      </c>
      <c r="B36" s="11" t="s">
        <v>79</v>
      </c>
      <c r="C36" s="11" t="s">
        <v>56</v>
      </c>
    </row>
    <row r="37" spans="1:8" ht="15" customHeight="1" x14ac:dyDescent="0.35">
      <c r="A37" s="10" t="s">
        <v>80</v>
      </c>
      <c r="B37" s="10" t="s">
        <v>81</v>
      </c>
      <c r="C37" s="10" t="s">
        <v>82</v>
      </c>
    </row>
    <row r="38" spans="1:8" ht="15" customHeight="1" x14ac:dyDescent="0.35">
      <c r="A38" s="11" t="s">
        <v>83</v>
      </c>
      <c r="B38" s="11" t="s">
        <v>84</v>
      </c>
      <c r="C38" s="11" t="s">
        <v>56</v>
      </c>
    </row>
    <row r="39" spans="1:8" ht="15" customHeight="1" x14ac:dyDescent="0.35">
      <c r="A39" s="10" t="s">
        <v>85</v>
      </c>
      <c r="B39" s="10" t="s">
        <v>86</v>
      </c>
      <c r="C39" s="10" t="s">
        <v>87</v>
      </c>
    </row>
    <row r="40" spans="1:8" ht="15" customHeight="1" x14ac:dyDescent="0.35">
      <c r="A40" s="11" t="s">
        <v>88</v>
      </c>
      <c r="B40" s="11" t="s">
        <v>89</v>
      </c>
      <c r="C40" s="11" t="s">
        <v>90</v>
      </c>
    </row>
    <row r="41" spans="1:8" ht="15" customHeight="1" x14ac:dyDescent="0.35">
      <c r="A41" s="10" t="s">
        <v>91</v>
      </c>
      <c r="B41" s="10" t="s">
        <v>92</v>
      </c>
      <c r="C41" s="10" t="s">
        <v>93</v>
      </c>
    </row>
    <row r="42" spans="1:8" ht="15" customHeight="1" x14ac:dyDescent="0.35">
      <c r="A42" s="11" t="s">
        <v>94</v>
      </c>
      <c r="B42" s="11" t="s">
        <v>95</v>
      </c>
      <c r="C42" s="11" t="s">
        <v>96</v>
      </c>
    </row>
    <row r="44" spans="1:8" ht="15" customHeight="1" x14ac:dyDescent="0.35">
      <c r="A44" s="3" t="s">
        <v>97</v>
      </c>
      <c r="B44" s="3"/>
      <c r="C44" s="3"/>
      <c r="D44" s="3"/>
      <c r="E44" s="3"/>
      <c r="F44" s="3"/>
      <c r="G44" s="3"/>
      <c r="H44" s="3"/>
    </row>
    <row r="45" spans="1:8" ht="15" customHeight="1" x14ac:dyDescent="0.35">
      <c r="A45" s="12" t="s">
        <v>98</v>
      </c>
      <c r="B45" s="2" t="s">
        <v>99</v>
      </c>
      <c r="C45" s="2"/>
      <c r="D45" s="2"/>
      <c r="E45" s="2"/>
      <c r="F45" s="2"/>
      <c r="G45" s="2"/>
      <c r="H45" s="2"/>
    </row>
    <row r="46" spans="1:8" ht="15" customHeight="1" x14ac:dyDescent="0.35">
      <c r="A46" s="12" t="s">
        <v>100</v>
      </c>
      <c r="B46" s="2" t="s">
        <v>101</v>
      </c>
      <c r="C46" s="2"/>
      <c r="D46" s="2"/>
      <c r="E46" s="2"/>
      <c r="F46" s="2"/>
      <c r="G46" s="2"/>
      <c r="H46" s="2"/>
    </row>
    <row r="47" spans="1:8" ht="15" customHeight="1" x14ac:dyDescent="0.35">
      <c r="A47" s="12" t="s">
        <v>102</v>
      </c>
      <c r="B47" s="2" t="s">
        <v>103</v>
      </c>
      <c r="C47" s="2"/>
      <c r="D47" s="2"/>
      <c r="E47" s="2"/>
      <c r="F47" s="2"/>
      <c r="G47" s="2"/>
      <c r="H47" s="2"/>
    </row>
    <row r="48" spans="1:8" ht="15" customHeight="1" x14ac:dyDescent="0.35">
      <c r="A48" s="12" t="s">
        <v>104</v>
      </c>
      <c r="B48" s="2" t="s">
        <v>105</v>
      </c>
      <c r="C48" s="2"/>
      <c r="D48" s="2"/>
      <c r="E48" s="2"/>
      <c r="F48" s="2"/>
      <c r="G48" s="2"/>
      <c r="H48" s="2"/>
    </row>
    <row r="49" spans="1:8" ht="15" customHeight="1" x14ac:dyDescent="0.35">
      <c r="A49" s="12" t="s">
        <v>106</v>
      </c>
      <c r="B49" s="2" t="s">
        <v>107</v>
      </c>
      <c r="C49" s="2"/>
      <c r="D49" s="2"/>
      <c r="E49" s="2"/>
      <c r="F49" s="2"/>
      <c r="G49" s="2"/>
      <c r="H49" s="2"/>
    </row>
    <row r="50" spans="1:8" ht="15" customHeight="1" x14ac:dyDescent="0.35">
      <c r="A50" s="12" t="s">
        <v>108</v>
      </c>
      <c r="B50" s="2" t="s">
        <v>109</v>
      </c>
      <c r="C50" s="2"/>
      <c r="D50" s="2"/>
      <c r="E50" s="2"/>
      <c r="F50" s="2"/>
      <c r="G50" s="2"/>
      <c r="H50" s="2"/>
    </row>
  </sheetData>
  <mergeCells count="12">
    <mergeCell ref="B49:H49"/>
    <mergeCell ref="B50:H50"/>
    <mergeCell ref="A44:H44"/>
    <mergeCell ref="B45:H45"/>
    <mergeCell ref="B46:H46"/>
    <mergeCell ref="B47:H47"/>
    <mergeCell ref="B48:H48"/>
    <mergeCell ref="A1:H1"/>
    <mergeCell ref="A2:H2"/>
    <mergeCell ref="A3:H3"/>
    <mergeCell ref="A6:H6"/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2FBE"/>
  </sheetPr>
  <dimension ref="A1:J33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2" width="22" customWidth="1"/>
    <col min="3" max="3" width="14" customWidth="1"/>
    <col min="4" max="4" width="16" customWidth="1"/>
    <col min="5" max="5" width="14" customWidth="1"/>
    <col min="6" max="6" width="18" customWidth="1"/>
    <col min="7" max="9" width="14" customWidth="1"/>
    <col min="10" max="10" width="20" customWidth="1"/>
  </cols>
  <sheetData>
    <row r="1" spans="1:10" ht="39.75" customHeight="1" x14ac:dyDescent="0.35">
      <c r="A1" s="7" t="s">
        <v>110</v>
      </c>
      <c r="B1" s="7"/>
      <c r="C1" s="7"/>
      <c r="D1" s="7"/>
      <c r="E1" s="7"/>
      <c r="F1" s="7"/>
      <c r="G1" s="7"/>
      <c r="H1" s="7"/>
      <c r="I1" s="7"/>
      <c r="J1" s="7"/>
    </row>
    <row r="2" spans="1:10" ht="21.75" customHeight="1" x14ac:dyDescent="0.35">
      <c r="A2" s="6" t="s">
        <v>111</v>
      </c>
      <c r="B2" s="6"/>
      <c r="C2" s="6"/>
      <c r="D2" s="6"/>
      <c r="E2" s="6"/>
      <c r="F2" s="6"/>
      <c r="G2" s="6"/>
      <c r="H2" s="6"/>
      <c r="I2" s="6"/>
      <c r="J2" s="6"/>
    </row>
    <row r="3" spans="1:10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5" spans="1:10" ht="15" customHeight="1" x14ac:dyDescent="0.35">
      <c r="A5" s="1" t="s">
        <v>112</v>
      </c>
      <c r="B5" s="1"/>
      <c r="C5" s="1"/>
      <c r="D5" s="1"/>
      <c r="E5" s="1"/>
      <c r="F5" s="1"/>
      <c r="G5" s="1"/>
      <c r="H5" s="1"/>
      <c r="I5" s="1"/>
      <c r="J5" s="1"/>
    </row>
    <row r="6" spans="1:10" ht="15" customHeight="1" x14ac:dyDescent="0.35">
      <c r="A6" s="13" t="s">
        <v>113</v>
      </c>
      <c r="B6" s="13" t="s">
        <v>114</v>
      </c>
      <c r="C6" s="13" t="s">
        <v>115</v>
      </c>
      <c r="D6" s="13" t="s">
        <v>116</v>
      </c>
      <c r="E6" s="13" t="s">
        <v>117</v>
      </c>
      <c r="F6" s="13" t="s">
        <v>5</v>
      </c>
      <c r="G6" s="13" t="s">
        <v>118</v>
      </c>
    </row>
    <row r="7" spans="1:10" ht="23.25" customHeight="1" x14ac:dyDescent="0.35">
      <c r="A7" s="10" t="s">
        <v>119</v>
      </c>
      <c r="B7" s="10" t="s">
        <v>120</v>
      </c>
      <c r="C7" s="10" t="str">
        <f>C8</f>
        <v>14</v>
      </c>
      <c r="D7" s="10">
        <f>C8-100</f>
        <v>-86</v>
      </c>
      <c r="E7" s="10" t="s">
        <v>121</v>
      </c>
      <c r="F7" s="10" t="s">
        <v>96</v>
      </c>
      <c r="G7" s="10" t="s">
        <v>122</v>
      </c>
    </row>
    <row r="8" spans="1:10" ht="15" customHeight="1" x14ac:dyDescent="0.35">
      <c r="A8" s="11" t="s">
        <v>123</v>
      </c>
      <c r="B8" s="11" t="s">
        <v>124</v>
      </c>
      <c r="C8" s="11" t="str">
        <f>C9</f>
        <v>14</v>
      </c>
      <c r="D8" s="11">
        <f>C9-500</f>
        <v>-486</v>
      </c>
      <c r="E8" s="11" t="s">
        <v>121</v>
      </c>
      <c r="F8" s="11" t="s">
        <v>96</v>
      </c>
      <c r="G8" s="11"/>
    </row>
    <row r="9" spans="1:10" ht="23.25" customHeight="1" x14ac:dyDescent="0.35">
      <c r="A9" s="10" t="s">
        <v>125</v>
      </c>
      <c r="B9" s="10" t="s">
        <v>126</v>
      </c>
      <c r="C9" s="10" t="s">
        <v>127</v>
      </c>
      <c r="D9" s="10" t="s">
        <v>128</v>
      </c>
      <c r="E9" s="10" t="s">
        <v>129</v>
      </c>
      <c r="F9" s="10" t="s">
        <v>130</v>
      </c>
      <c r="G9" s="10" t="s">
        <v>131</v>
      </c>
    </row>
    <row r="10" spans="1:10" ht="15" customHeight="1" x14ac:dyDescent="0.35">
      <c r="A10" s="11" t="s">
        <v>132</v>
      </c>
      <c r="B10" s="11" t="s">
        <v>133</v>
      </c>
      <c r="C10" s="11" t="s">
        <v>134</v>
      </c>
      <c r="D10" s="11">
        <f>C11-800000</f>
        <v>-799964</v>
      </c>
      <c r="E10" s="11" t="s">
        <v>121</v>
      </c>
      <c r="F10" s="11" t="s">
        <v>130</v>
      </c>
      <c r="G10" s="11" t="s">
        <v>135</v>
      </c>
    </row>
    <row r="11" spans="1:10" ht="15" customHeight="1" x14ac:dyDescent="0.35">
      <c r="A11" s="10" t="s">
        <v>136</v>
      </c>
      <c r="B11" s="10" t="s">
        <v>137</v>
      </c>
      <c r="C11" s="10" t="s">
        <v>138</v>
      </c>
      <c r="D11" s="10" t="s">
        <v>139</v>
      </c>
      <c r="E11" s="10" t="s">
        <v>121</v>
      </c>
      <c r="F11" s="10" t="s">
        <v>33</v>
      </c>
      <c r="G11" s="10"/>
    </row>
    <row r="12" spans="1:10" ht="15" customHeight="1" x14ac:dyDescent="0.35">
      <c r="A12" s="11" t="s">
        <v>140</v>
      </c>
      <c r="B12" s="11" t="s">
        <v>141</v>
      </c>
      <c r="C12" s="11" t="s">
        <v>142</v>
      </c>
      <c r="D12" s="11" t="s">
        <v>143</v>
      </c>
      <c r="E12" s="11" t="s">
        <v>144</v>
      </c>
      <c r="F12" s="11" t="s">
        <v>145</v>
      </c>
      <c r="G12" s="11" t="s">
        <v>146</v>
      </c>
    </row>
    <row r="13" spans="1:10" ht="15" customHeight="1" x14ac:dyDescent="0.35">
      <c r="A13" s="10" t="s">
        <v>147</v>
      </c>
      <c r="B13" s="10" t="s">
        <v>148</v>
      </c>
      <c r="C13" s="10" t="s">
        <v>149</v>
      </c>
      <c r="D13" s="10" t="s">
        <v>150</v>
      </c>
      <c r="E13" s="10" t="s">
        <v>121</v>
      </c>
      <c r="F13" s="10" t="s">
        <v>36</v>
      </c>
      <c r="G13" s="10"/>
    </row>
    <row r="14" spans="1:10" ht="23.25" customHeight="1" x14ac:dyDescent="0.35">
      <c r="A14" s="11" t="s">
        <v>151</v>
      </c>
      <c r="B14" s="11" t="s">
        <v>152</v>
      </c>
      <c r="C14" s="11" t="s">
        <v>142</v>
      </c>
      <c r="D14" s="11" t="s">
        <v>143</v>
      </c>
      <c r="E14" s="11" t="s">
        <v>121</v>
      </c>
      <c r="F14" s="11" t="s">
        <v>56</v>
      </c>
      <c r="G14" s="11" t="s">
        <v>153</v>
      </c>
    </row>
    <row r="15" spans="1:10" ht="15" customHeight="1" x14ac:dyDescent="0.35">
      <c r="A15" s="10" t="s">
        <v>154</v>
      </c>
      <c r="B15" s="10" t="s">
        <v>155</v>
      </c>
      <c r="C15" s="10" t="s">
        <v>152</v>
      </c>
      <c r="D15" s="10" t="s">
        <v>141</v>
      </c>
      <c r="E15" s="10" t="s">
        <v>121</v>
      </c>
      <c r="F15" s="10" t="s">
        <v>156</v>
      </c>
      <c r="G15" s="10"/>
    </row>
    <row r="16" spans="1:10" ht="15" customHeight="1" x14ac:dyDescent="0.35">
      <c r="A16" s="11" t="s">
        <v>157</v>
      </c>
      <c r="B16" s="11" t="s">
        <v>158</v>
      </c>
      <c r="C16" s="11" t="s">
        <v>159</v>
      </c>
      <c r="D16" s="11" t="s">
        <v>160</v>
      </c>
      <c r="E16" s="11" t="s">
        <v>129</v>
      </c>
      <c r="F16" s="11" t="s">
        <v>161</v>
      </c>
      <c r="G16" s="11" t="s">
        <v>162</v>
      </c>
    </row>
    <row r="18" spans="1:10" ht="15" customHeight="1" x14ac:dyDescent="0.35">
      <c r="A18" s="1" t="s">
        <v>163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15" customHeight="1" x14ac:dyDescent="0.35">
      <c r="A19" s="13" t="s">
        <v>164</v>
      </c>
      <c r="B19" s="13" t="s">
        <v>165</v>
      </c>
      <c r="C19" s="13" t="s">
        <v>166</v>
      </c>
      <c r="D19" s="13" t="s">
        <v>167</v>
      </c>
      <c r="E19" s="13" t="s">
        <v>168</v>
      </c>
      <c r="F19" s="13" t="s">
        <v>169</v>
      </c>
      <c r="G19" s="13" t="s">
        <v>170</v>
      </c>
      <c r="H19" s="13" t="s">
        <v>117</v>
      </c>
      <c r="I19" s="13" t="s">
        <v>171</v>
      </c>
      <c r="J19" s="13" t="s">
        <v>118</v>
      </c>
    </row>
    <row r="20" spans="1:10" ht="15" customHeight="1" x14ac:dyDescent="0.35">
      <c r="A20" s="11" t="s">
        <v>172</v>
      </c>
      <c r="B20" s="11" t="s">
        <v>173</v>
      </c>
      <c r="C20" s="11" t="s">
        <v>174</v>
      </c>
      <c r="D20" s="11" t="s">
        <v>175</v>
      </c>
      <c r="E20" s="11" t="s">
        <v>176</v>
      </c>
      <c r="F20" s="11" t="s">
        <v>176</v>
      </c>
      <c r="G20" s="14">
        <f t="shared" ref="G20:G25" si="0">F20/E20</f>
        <v>1</v>
      </c>
      <c r="H20" s="11" t="s">
        <v>177</v>
      </c>
      <c r="I20" s="11" t="s">
        <v>33</v>
      </c>
      <c r="J20" s="11" t="s">
        <v>178</v>
      </c>
    </row>
    <row r="21" spans="1:10" ht="15" customHeight="1" x14ac:dyDescent="0.35">
      <c r="A21" s="10" t="s">
        <v>179</v>
      </c>
      <c r="B21" s="10" t="s">
        <v>180</v>
      </c>
      <c r="C21" s="10" t="s">
        <v>181</v>
      </c>
      <c r="D21" s="10" t="s">
        <v>182</v>
      </c>
      <c r="E21" s="10" t="s">
        <v>137</v>
      </c>
      <c r="F21" s="10" t="s">
        <v>183</v>
      </c>
      <c r="G21" s="15">
        <f t="shared" si="0"/>
        <v>0.8</v>
      </c>
      <c r="H21" s="10" t="s">
        <v>184</v>
      </c>
      <c r="I21" s="10" t="s">
        <v>33</v>
      </c>
      <c r="J21" s="10" t="s">
        <v>185</v>
      </c>
    </row>
    <row r="22" spans="1:10" ht="15" customHeight="1" x14ac:dyDescent="0.35">
      <c r="A22" s="11" t="s">
        <v>186</v>
      </c>
      <c r="B22" s="11" t="s">
        <v>187</v>
      </c>
      <c r="C22" s="11" t="s">
        <v>188</v>
      </c>
      <c r="D22" s="11" t="s">
        <v>189</v>
      </c>
      <c r="E22" s="11" t="s">
        <v>190</v>
      </c>
      <c r="F22" s="11" t="s">
        <v>141</v>
      </c>
      <c r="G22" s="14">
        <f t="shared" si="0"/>
        <v>0</v>
      </c>
      <c r="H22" s="11" t="s">
        <v>191</v>
      </c>
      <c r="I22" s="11" t="s">
        <v>33</v>
      </c>
      <c r="J22" s="11"/>
    </row>
    <row r="23" spans="1:10" ht="15" customHeight="1" x14ac:dyDescent="0.35">
      <c r="A23" s="10" t="s">
        <v>192</v>
      </c>
      <c r="B23" s="10" t="s">
        <v>193</v>
      </c>
      <c r="C23" s="10" t="s">
        <v>194</v>
      </c>
      <c r="D23" s="10" t="s">
        <v>195</v>
      </c>
      <c r="E23" s="10" t="s">
        <v>196</v>
      </c>
      <c r="F23" s="10" t="s">
        <v>141</v>
      </c>
      <c r="G23" s="15">
        <f t="shared" si="0"/>
        <v>0</v>
      </c>
      <c r="H23" s="10" t="s">
        <v>191</v>
      </c>
      <c r="I23" s="10" t="s">
        <v>36</v>
      </c>
      <c r="J23" s="10"/>
    </row>
    <row r="24" spans="1:10" ht="15" customHeight="1" x14ac:dyDescent="0.35">
      <c r="A24" s="11" t="s">
        <v>197</v>
      </c>
      <c r="B24" s="11" t="s">
        <v>198</v>
      </c>
      <c r="C24" s="11" t="s">
        <v>199</v>
      </c>
      <c r="D24" s="11" t="s">
        <v>200</v>
      </c>
      <c r="E24" s="11" t="s">
        <v>137</v>
      </c>
      <c r="F24" s="11" t="s">
        <v>141</v>
      </c>
      <c r="G24" s="14">
        <f t="shared" si="0"/>
        <v>0</v>
      </c>
      <c r="H24" s="11" t="s">
        <v>191</v>
      </c>
      <c r="I24" s="11" t="s">
        <v>47</v>
      </c>
      <c r="J24" s="11"/>
    </row>
    <row r="25" spans="1:10" ht="15" customHeight="1" x14ac:dyDescent="0.35">
      <c r="A25" s="10" t="s">
        <v>201</v>
      </c>
      <c r="B25" s="10" t="s">
        <v>202</v>
      </c>
      <c r="C25" s="10" t="s">
        <v>203</v>
      </c>
      <c r="D25" s="10" t="s">
        <v>204</v>
      </c>
      <c r="E25" s="10" t="s">
        <v>205</v>
      </c>
      <c r="F25" s="10" t="s">
        <v>141</v>
      </c>
      <c r="G25" s="15">
        <f t="shared" si="0"/>
        <v>0</v>
      </c>
      <c r="H25" s="10" t="s">
        <v>191</v>
      </c>
      <c r="I25" s="10" t="s">
        <v>75</v>
      </c>
      <c r="J25" s="10"/>
    </row>
    <row r="27" spans="1:10" ht="15" customHeight="1" x14ac:dyDescent="0.35">
      <c r="A27" s="1" t="s">
        <v>206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15" customHeight="1" x14ac:dyDescent="0.35">
      <c r="A28" s="13" t="s">
        <v>207</v>
      </c>
      <c r="B28" s="13" t="s">
        <v>208</v>
      </c>
      <c r="C28" s="13" t="s">
        <v>209</v>
      </c>
      <c r="D28" s="13" t="s">
        <v>210</v>
      </c>
      <c r="E28" s="13" t="s">
        <v>211</v>
      </c>
      <c r="F28" s="13" t="s">
        <v>212</v>
      </c>
      <c r="G28" s="13" t="s">
        <v>5</v>
      </c>
      <c r="H28" s="13" t="s">
        <v>117</v>
      </c>
    </row>
    <row r="29" spans="1:10" ht="23.25" customHeight="1" x14ac:dyDescent="0.35">
      <c r="A29" s="10" t="s">
        <v>213</v>
      </c>
      <c r="B29" s="10" t="s">
        <v>214</v>
      </c>
      <c r="C29" s="10" t="s">
        <v>215</v>
      </c>
      <c r="D29" s="10" t="s">
        <v>215</v>
      </c>
      <c r="E29" s="10">
        <v>9</v>
      </c>
      <c r="F29" s="10" t="s">
        <v>216</v>
      </c>
      <c r="G29" s="10" t="s">
        <v>56</v>
      </c>
      <c r="H29" s="10" t="s">
        <v>217</v>
      </c>
    </row>
    <row r="30" spans="1:10" ht="23.25" customHeight="1" x14ac:dyDescent="0.35">
      <c r="A30" s="11" t="s">
        <v>218</v>
      </c>
      <c r="B30" s="11" t="s">
        <v>156</v>
      </c>
      <c r="C30" s="11" t="s">
        <v>219</v>
      </c>
      <c r="D30" s="11" t="s">
        <v>215</v>
      </c>
      <c r="E30" s="11">
        <v>6</v>
      </c>
      <c r="F30" s="11" t="s">
        <v>220</v>
      </c>
      <c r="G30" s="11" t="s">
        <v>156</v>
      </c>
      <c r="H30" s="11" t="s">
        <v>221</v>
      </c>
    </row>
    <row r="31" spans="1:10" ht="23.25" customHeight="1" x14ac:dyDescent="0.35">
      <c r="A31" s="10" t="s">
        <v>222</v>
      </c>
      <c r="B31" s="10" t="s">
        <v>223</v>
      </c>
      <c r="C31" s="10" t="s">
        <v>219</v>
      </c>
      <c r="D31" s="10" t="s">
        <v>219</v>
      </c>
      <c r="E31" s="10">
        <v>4</v>
      </c>
      <c r="F31" s="10" t="s">
        <v>224</v>
      </c>
      <c r="G31" s="10" t="s">
        <v>36</v>
      </c>
      <c r="H31" s="10" t="s">
        <v>217</v>
      </c>
    </row>
    <row r="32" spans="1:10" ht="23.25" customHeight="1" x14ac:dyDescent="0.35">
      <c r="A32" s="11" t="s">
        <v>225</v>
      </c>
      <c r="B32" s="11" t="s">
        <v>226</v>
      </c>
      <c r="C32" s="11" t="s">
        <v>227</v>
      </c>
      <c r="D32" s="11" t="s">
        <v>228</v>
      </c>
      <c r="E32" s="11">
        <v>4</v>
      </c>
      <c r="F32" s="11" t="s">
        <v>229</v>
      </c>
      <c r="G32" s="11" t="s">
        <v>50</v>
      </c>
      <c r="H32" s="11" t="s">
        <v>230</v>
      </c>
    </row>
    <row r="33" spans="1:8" ht="23.25" customHeight="1" x14ac:dyDescent="0.35">
      <c r="A33" s="10" t="s">
        <v>231</v>
      </c>
      <c r="B33" s="10" t="s">
        <v>223</v>
      </c>
      <c r="C33" s="10" t="s">
        <v>219</v>
      </c>
      <c r="D33" s="10" t="s">
        <v>215</v>
      </c>
      <c r="E33" s="10">
        <v>6</v>
      </c>
      <c r="F33" s="10" t="s">
        <v>232</v>
      </c>
      <c r="G33" s="10" t="s">
        <v>56</v>
      </c>
      <c r="H33" s="10" t="s">
        <v>217</v>
      </c>
    </row>
  </sheetData>
  <mergeCells count="6">
    <mergeCell ref="A27:J27"/>
    <mergeCell ref="A1:J1"/>
    <mergeCell ref="A2:J2"/>
    <mergeCell ref="A3:J3"/>
    <mergeCell ref="A5:J5"/>
    <mergeCell ref="A18:J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C2FF"/>
  </sheetPr>
  <dimension ref="A1:V20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32" customWidth="1"/>
    <col min="3" max="4" width="14" customWidth="1"/>
    <col min="5" max="5" width="10" customWidth="1"/>
    <col min="6" max="6" width="14" customWidth="1"/>
    <col min="7" max="7" width="10" customWidth="1"/>
    <col min="8" max="8" width="12" customWidth="1"/>
    <col min="9" max="9" width="10" customWidth="1"/>
    <col min="10" max="11" width="12" customWidth="1"/>
    <col min="12" max="12" width="10" customWidth="1"/>
    <col min="13" max="13" width="16" customWidth="1"/>
    <col min="14" max="14" width="18" customWidth="1"/>
    <col min="15" max="16" width="10" customWidth="1"/>
    <col min="17" max="18" width="14" customWidth="1"/>
    <col min="19" max="19" width="18" customWidth="1"/>
    <col min="20" max="20" width="10" customWidth="1"/>
    <col min="21" max="21" width="24" customWidth="1"/>
    <col min="22" max="22" width="22" customWidth="1"/>
  </cols>
  <sheetData>
    <row r="1" spans="1:22" ht="39.75" customHeight="1" x14ac:dyDescent="0.35">
      <c r="A1" s="7" t="s">
        <v>233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21.75" customHeight="1" x14ac:dyDescent="0.35">
      <c r="A2" s="6" t="s">
        <v>234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5" spans="1:22" ht="23.25" customHeight="1" x14ac:dyDescent="0.35">
      <c r="A5" s="13" t="s">
        <v>235</v>
      </c>
      <c r="B5" s="13" t="s">
        <v>236</v>
      </c>
      <c r="C5" s="13" t="s">
        <v>237</v>
      </c>
      <c r="D5" s="13" t="s">
        <v>208</v>
      </c>
      <c r="E5" s="13" t="s">
        <v>164</v>
      </c>
      <c r="F5" s="13" t="s">
        <v>5</v>
      </c>
      <c r="G5" s="13" t="s">
        <v>238</v>
      </c>
      <c r="H5" s="13" t="s">
        <v>117</v>
      </c>
      <c r="I5" s="13" t="s">
        <v>239</v>
      </c>
      <c r="J5" s="13" t="s">
        <v>240</v>
      </c>
      <c r="K5" s="13" t="s">
        <v>241</v>
      </c>
      <c r="L5" s="13" t="s">
        <v>242</v>
      </c>
      <c r="M5" s="13" t="s">
        <v>243</v>
      </c>
      <c r="N5" s="13" t="s">
        <v>244</v>
      </c>
      <c r="O5" s="13" t="s">
        <v>245</v>
      </c>
      <c r="P5" s="13" t="s">
        <v>246</v>
      </c>
      <c r="Q5" s="13" t="s">
        <v>247</v>
      </c>
      <c r="R5" s="13" t="s">
        <v>248</v>
      </c>
      <c r="S5" s="13" t="s">
        <v>249</v>
      </c>
      <c r="T5" s="13" t="s">
        <v>250</v>
      </c>
      <c r="U5" s="13" t="s">
        <v>118</v>
      </c>
      <c r="V5" s="13" t="s">
        <v>251</v>
      </c>
    </row>
    <row r="6" spans="1:22" ht="15" customHeight="1" x14ac:dyDescent="0.35">
      <c r="A6" s="11" t="s">
        <v>252</v>
      </c>
      <c r="B6" s="11" t="s">
        <v>253</v>
      </c>
      <c r="C6" s="11" t="s">
        <v>254</v>
      </c>
      <c r="D6" s="11" t="s">
        <v>255</v>
      </c>
      <c r="E6" s="11" t="s">
        <v>172</v>
      </c>
      <c r="F6" s="11" t="s">
        <v>33</v>
      </c>
      <c r="G6" s="11" t="s">
        <v>215</v>
      </c>
      <c r="H6" s="11" t="s">
        <v>177</v>
      </c>
      <c r="I6" s="14" t="s">
        <v>256</v>
      </c>
      <c r="J6" s="16" t="s">
        <v>174</v>
      </c>
      <c r="K6" s="16" t="s">
        <v>257</v>
      </c>
      <c r="L6" s="11">
        <f t="shared" ref="L6:L20" ca="1" si="0">MAX(0,K7-TODAY())</f>
        <v>0</v>
      </c>
      <c r="M6" s="11"/>
      <c r="N6" s="11"/>
      <c r="O6" s="11" t="s">
        <v>258</v>
      </c>
      <c r="P6" s="11" t="s">
        <v>258</v>
      </c>
      <c r="Q6" s="11" t="s">
        <v>141</v>
      </c>
      <c r="R6" s="11" t="s">
        <v>141</v>
      </c>
      <c r="S6" s="11" t="s">
        <v>259</v>
      </c>
      <c r="T6" s="11" t="s">
        <v>227</v>
      </c>
      <c r="U6" s="11" t="s">
        <v>260</v>
      </c>
      <c r="V6" s="11" t="s">
        <v>261</v>
      </c>
    </row>
    <row r="7" spans="1:22" ht="15" customHeight="1" x14ac:dyDescent="0.35">
      <c r="A7" s="10" t="s">
        <v>262</v>
      </c>
      <c r="B7" s="10" t="s">
        <v>263</v>
      </c>
      <c r="C7" s="10" t="s">
        <v>254</v>
      </c>
      <c r="D7" s="10" t="s">
        <v>264</v>
      </c>
      <c r="E7" s="10" t="s">
        <v>172</v>
      </c>
      <c r="F7" s="10" t="s">
        <v>265</v>
      </c>
      <c r="G7" s="10" t="s">
        <v>215</v>
      </c>
      <c r="H7" s="10" t="s">
        <v>177</v>
      </c>
      <c r="I7" s="15" t="s">
        <v>256</v>
      </c>
      <c r="J7" s="17" t="s">
        <v>174</v>
      </c>
      <c r="K7" s="17" t="s">
        <v>266</v>
      </c>
      <c r="L7" s="10">
        <f t="shared" ca="1" si="0"/>
        <v>0</v>
      </c>
      <c r="M7" s="10" t="s">
        <v>252</v>
      </c>
      <c r="N7" s="10"/>
      <c r="O7" s="10" t="s">
        <v>267</v>
      </c>
      <c r="P7" s="10" t="s">
        <v>127</v>
      </c>
      <c r="Q7" s="10" t="s">
        <v>141</v>
      </c>
      <c r="R7" s="10" t="s">
        <v>141</v>
      </c>
      <c r="S7" s="10" t="s">
        <v>268</v>
      </c>
      <c r="T7" s="10" t="s">
        <v>219</v>
      </c>
      <c r="U7" s="10" t="s">
        <v>269</v>
      </c>
      <c r="V7" s="10" t="s">
        <v>270</v>
      </c>
    </row>
    <row r="8" spans="1:22" ht="15" customHeight="1" x14ac:dyDescent="0.35">
      <c r="A8" s="11" t="s">
        <v>271</v>
      </c>
      <c r="B8" s="11" t="s">
        <v>272</v>
      </c>
      <c r="C8" s="11" t="s">
        <v>264</v>
      </c>
      <c r="D8" s="11" t="s">
        <v>273</v>
      </c>
      <c r="E8" s="11" t="s">
        <v>172</v>
      </c>
      <c r="F8" s="11" t="s">
        <v>274</v>
      </c>
      <c r="G8" s="11" t="s">
        <v>215</v>
      </c>
      <c r="H8" s="11" t="s">
        <v>177</v>
      </c>
      <c r="I8" s="14" t="s">
        <v>256</v>
      </c>
      <c r="J8" s="16" t="s">
        <v>275</v>
      </c>
      <c r="K8" s="16" t="s">
        <v>276</v>
      </c>
      <c r="L8" s="11">
        <f t="shared" ca="1" si="0"/>
        <v>0</v>
      </c>
      <c r="M8" s="11"/>
      <c r="N8" s="11"/>
      <c r="O8" s="11" t="s">
        <v>277</v>
      </c>
      <c r="P8" s="11" t="s">
        <v>278</v>
      </c>
      <c r="Q8" s="11" t="s">
        <v>141</v>
      </c>
      <c r="R8" s="11" t="s">
        <v>141</v>
      </c>
      <c r="S8" s="11" t="s">
        <v>279</v>
      </c>
      <c r="T8" s="11" t="s">
        <v>227</v>
      </c>
      <c r="U8" s="11"/>
      <c r="V8" s="11" t="s">
        <v>280</v>
      </c>
    </row>
    <row r="9" spans="1:22" ht="23.25" customHeight="1" x14ac:dyDescent="0.35">
      <c r="A9" s="10" t="s">
        <v>281</v>
      </c>
      <c r="B9" s="10" t="s">
        <v>282</v>
      </c>
      <c r="C9" s="10" t="s">
        <v>254</v>
      </c>
      <c r="D9" s="10" t="s">
        <v>283</v>
      </c>
      <c r="E9" s="10" t="s">
        <v>179</v>
      </c>
      <c r="F9" s="10" t="s">
        <v>284</v>
      </c>
      <c r="G9" s="10" t="s">
        <v>215</v>
      </c>
      <c r="H9" s="10" t="s">
        <v>184</v>
      </c>
      <c r="I9" s="15" t="s">
        <v>285</v>
      </c>
      <c r="J9" s="17" t="s">
        <v>181</v>
      </c>
      <c r="K9" s="17" t="s">
        <v>286</v>
      </c>
      <c r="L9" s="10">
        <f t="shared" ca="1" si="0"/>
        <v>0</v>
      </c>
      <c r="M9" s="10" t="s">
        <v>262</v>
      </c>
      <c r="N9" s="10"/>
      <c r="O9" s="10" t="s">
        <v>278</v>
      </c>
      <c r="P9" s="10" t="s">
        <v>287</v>
      </c>
      <c r="Q9" s="10" t="s">
        <v>141</v>
      </c>
      <c r="R9" s="10" t="s">
        <v>141</v>
      </c>
      <c r="S9" s="10" t="s">
        <v>288</v>
      </c>
      <c r="T9" s="10" t="s">
        <v>219</v>
      </c>
      <c r="U9" s="10" t="s">
        <v>289</v>
      </c>
      <c r="V9" s="10"/>
    </row>
    <row r="10" spans="1:22" ht="15" customHeight="1" x14ac:dyDescent="0.35">
      <c r="A10" s="11" t="s">
        <v>290</v>
      </c>
      <c r="B10" s="11" t="s">
        <v>291</v>
      </c>
      <c r="C10" s="11" t="s">
        <v>292</v>
      </c>
      <c r="D10" s="11" t="s">
        <v>293</v>
      </c>
      <c r="E10" s="11" t="s">
        <v>179</v>
      </c>
      <c r="F10" s="11" t="s">
        <v>294</v>
      </c>
      <c r="G10" s="11" t="s">
        <v>215</v>
      </c>
      <c r="H10" s="11" t="s">
        <v>184</v>
      </c>
      <c r="I10" s="14" t="s">
        <v>295</v>
      </c>
      <c r="J10" s="16" t="s">
        <v>181</v>
      </c>
      <c r="K10" s="16" t="s">
        <v>296</v>
      </c>
      <c r="L10" s="11">
        <f t="shared" ca="1" si="0"/>
        <v>0</v>
      </c>
      <c r="M10" s="11" t="s">
        <v>297</v>
      </c>
      <c r="N10" s="11" t="s">
        <v>298</v>
      </c>
      <c r="O10" s="11" t="s">
        <v>277</v>
      </c>
      <c r="P10" s="11" t="s">
        <v>299</v>
      </c>
      <c r="Q10" s="11" t="s">
        <v>141</v>
      </c>
      <c r="R10" s="11" t="s">
        <v>141</v>
      </c>
      <c r="S10" s="11" t="s">
        <v>300</v>
      </c>
      <c r="T10" s="11" t="s">
        <v>219</v>
      </c>
      <c r="U10" s="11"/>
      <c r="V10" s="11"/>
    </row>
    <row r="11" spans="1:22" ht="15" customHeight="1" x14ac:dyDescent="0.35">
      <c r="A11" s="10" t="s">
        <v>301</v>
      </c>
      <c r="B11" s="10" t="s">
        <v>302</v>
      </c>
      <c r="C11" s="10" t="s">
        <v>292</v>
      </c>
      <c r="D11" s="10" t="s">
        <v>293</v>
      </c>
      <c r="E11" s="10" t="s">
        <v>179</v>
      </c>
      <c r="F11" s="10" t="s">
        <v>294</v>
      </c>
      <c r="G11" s="10" t="s">
        <v>215</v>
      </c>
      <c r="H11" s="10" t="s">
        <v>191</v>
      </c>
      <c r="I11" s="15" t="s">
        <v>141</v>
      </c>
      <c r="J11" s="17" t="s">
        <v>303</v>
      </c>
      <c r="K11" s="17" t="s">
        <v>182</v>
      </c>
      <c r="L11" s="10">
        <f t="shared" ca="1" si="0"/>
        <v>0</v>
      </c>
      <c r="M11" s="10" t="s">
        <v>290</v>
      </c>
      <c r="N11" s="10"/>
      <c r="O11" s="10" t="s">
        <v>176</v>
      </c>
      <c r="P11" s="10" t="s">
        <v>141</v>
      </c>
      <c r="Q11" s="10" t="s">
        <v>141</v>
      </c>
      <c r="R11" s="10" t="s">
        <v>141</v>
      </c>
      <c r="S11" s="10" t="s">
        <v>304</v>
      </c>
      <c r="T11" s="10" t="s">
        <v>227</v>
      </c>
      <c r="U11" s="10"/>
      <c r="V11" s="10"/>
    </row>
    <row r="12" spans="1:22" ht="15" customHeight="1" x14ac:dyDescent="0.35">
      <c r="A12" s="11" t="s">
        <v>305</v>
      </c>
      <c r="B12" s="11" t="s">
        <v>306</v>
      </c>
      <c r="C12" s="11" t="s">
        <v>307</v>
      </c>
      <c r="D12" s="11" t="s">
        <v>308</v>
      </c>
      <c r="E12" s="11" t="s">
        <v>179</v>
      </c>
      <c r="F12" s="11" t="s">
        <v>36</v>
      </c>
      <c r="G12" s="11" t="s">
        <v>215</v>
      </c>
      <c r="H12" s="11" t="s">
        <v>184</v>
      </c>
      <c r="I12" s="14" t="s">
        <v>309</v>
      </c>
      <c r="J12" s="16" t="s">
        <v>181</v>
      </c>
      <c r="K12" s="16" t="s">
        <v>310</v>
      </c>
      <c r="L12" s="11">
        <f t="shared" ca="1" si="0"/>
        <v>0</v>
      </c>
      <c r="M12" s="11" t="s">
        <v>262</v>
      </c>
      <c r="N12" s="11"/>
      <c r="O12" s="11" t="s">
        <v>137</v>
      </c>
      <c r="P12" s="11" t="s">
        <v>287</v>
      </c>
      <c r="Q12" s="11" t="s">
        <v>311</v>
      </c>
      <c r="R12" s="11" t="s">
        <v>141</v>
      </c>
      <c r="S12" s="11" t="s">
        <v>312</v>
      </c>
      <c r="T12" s="11" t="s">
        <v>215</v>
      </c>
      <c r="U12" s="11" t="s">
        <v>313</v>
      </c>
      <c r="V12" s="11" t="s">
        <v>314</v>
      </c>
    </row>
    <row r="13" spans="1:22" ht="15" customHeight="1" x14ac:dyDescent="0.35">
      <c r="A13" s="10" t="s">
        <v>315</v>
      </c>
      <c r="B13" s="10" t="s">
        <v>316</v>
      </c>
      <c r="C13" s="10" t="s">
        <v>283</v>
      </c>
      <c r="D13" s="10" t="s">
        <v>317</v>
      </c>
      <c r="E13" s="10" t="s">
        <v>197</v>
      </c>
      <c r="F13" s="10" t="s">
        <v>284</v>
      </c>
      <c r="G13" s="10" t="s">
        <v>215</v>
      </c>
      <c r="H13" s="10" t="s">
        <v>191</v>
      </c>
      <c r="I13" s="15" t="s">
        <v>141</v>
      </c>
      <c r="J13" s="17" t="s">
        <v>199</v>
      </c>
      <c r="K13" s="17" t="s">
        <v>318</v>
      </c>
      <c r="L13" s="10">
        <f t="shared" ca="1" si="0"/>
        <v>0</v>
      </c>
      <c r="M13" s="10" t="s">
        <v>281</v>
      </c>
      <c r="N13" s="10"/>
      <c r="O13" s="10" t="s">
        <v>176</v>
      </c>
      <c r="P13" s="10" t="s">
        <v>141</v>
      </c>
      <c r="Q13" s="10" t="s">
        <v>141</v>
      </c>
      <c r="R13" s="10" t="s">
        <v>141</v>
      </c>
      <c r="S13" s="10" t="s">
        <v>319</v>
      </c>
      <c r="T13" s="10" t="s">
        <v>215</v>
      </c>
      <c r="U13" s="10" t="s">
        <v>320</v>
      </c>
      <c r="V13" s="10"/>
    </row>
    <row r="14" spans="1:22" ht="15" customHeight="1" x14ac:dyDescent="0.35">
      <c r="A14" s="11" t="s">
        <v>321</v>
      </c>
      <c r="B14" s="11" t="s">
        <v>322</v>
      </c>
      <c r="C14" s="11" t="s">
        <v>214</v>
      </c>
      <c r="D14" s="11" t="s">
        <v>214</v>
      </c>
      <c r="E14" s="11" t="s">
        <v>172</v>
      </c>
      <c r="F14" s="11" t="s">
        <v>27</v>
      </c>
      <c r="G14" s="11" t="s">
        <v>215</v>
      </c>
      <c r="H14" s="11" t="s">
        <v>177</v>
      </c>
      <c r="I14" s="14" t="s">
        <v>256</v>
      </c>
      <c r="J14" s="16" t="s">
        <v>174</v>
      </c>
      <c r="K14" s="16" t="s">
        <v>323</v>
      </c>
      <c r="L14" s="11">
        <f t="shared" ca="1" si="0"/>
        <v>0</v>
      </c>
      <c r="M14" s="11"/>
      <c r="N14" s="11"/>
      <c r="O14" s="11" t="s">
        <v>155</v>
      </c>
      <c r="P14" s="11" t="s">
        <v>155</v>
      </c>
      <c r="Q14" s="11" t="s">
        <v>324</v>
      </c>
      <c r="R14" s="11" t="s">
        <v>324</v>
      </c>
      <c r="S14" s="11" t="s">
        <v>325</v>
      </c>
      <c r="T14" s="11" t="s">
        <v>227</v>
      </c>
      <c r="U14" s="11" t="s">
        <v>326</v>
      </c>
      <c r="V14" s="11" t="s">
        <v>327</v>
      </c>
    </row>
    <row r="15" spans="1:22" ht="15" customHeight="1" x14ac:dyDescent="0.35">
      <c r="A15" s="10" t="s">
        <v>328</v>
      </c>
      <c r="B15" s="10" t="s">
        <v>329</v>
      </c>
      <c r="C15" s="10" t="s">
        <v>156</v>
      </c>
      <c r="D15" s="10" t="s">
        <v>330</v>
      </c>
      <c r="E15" s="10" t="s">
        <v>172</v>
      </c>
      <c r="F15" s="10" t="s">
        <v>56</v>
      </c>
      <c r="G15" s="10" t="s">
        <v>215</v>
      </c>
      <c r="H15" s="10" t="s">
        <v>184</v>
      </c>
      <c r="I15" s="15" t="s">
        <v>331</v>
      </c>
      <c r="J15" s="17" t="s">
        <v>266</v>
      </c>
      <c r="K15" s="17" t="s">
        <v>332</v>
      </c>
      <c r="L15" s="10">
        <f t="shared" ca="1" si="0"/>
        <v>0</v>
      </c>
      <c r="M15" s="10"/>
      <c r="N15" s="10" t="s">
        <v>333</v>
      </c>
      <c r="O15" s="10"/>
      <c r="P15" s="10"/>
      <c r="Q15" s="10" t="s">
        <v>334</v>
      </c>
      <c r="R15" s="10" t="s">
        <v>141</v>
      </c>
      <c r="S15" s="10" t="s">
        <v>259</v>
      </c>
      <c r="T15" s="10" t="s">
        <v>219</v>
      </c>
      <c r="U15" s="10" t="s">
        <v>335</v>
      </c>
      <c r="V15" s="10"/>
    </row>
    <row r="16" spans="1:22" ht="15" customHeight="1" x14ac:dyDescent="0.35">
      <c r="A16" s="11" t="s">
        <v>336</v>
      </c>
      <c r="B16" s="11" t="s">
        <v>337</v>
      </c>
      <c r="C16" s="11" t="s">
        <v>338</v>
      </c>
      <c r="D16" s="11" t="s">
        <v>255</v>
      </c>
      <c r="E16" s="11" t="s">
        <v>179</v>
      </c>
      <c r="F16" s="11" t="s">
        <v>50</v>
      </c>
      <c r="G16" s="11" t="s">
        <v>219</v>
      </c>
      <c r="H16" s="11" t="s">
        <v>177</v>
      </c>
      <c r="I16" s="14" t="s">
        <v>256</v>
      </c>
      <c r="J16" s="16" t="s">
        <v>181</v>
      </c>
      <c r="K16" s="16" t="s">
        <v>339</v>
      </c>
      <c r="L16" s="11">
        <f t="shared" ca="1" si="0"/>
        <v>0</v>
      </c>
      <c r="M16" s="11"/>
      <c r="N16" s="11"/>
      <c r="O16" s="11" t="s">
        <v>258</v>
      </c>
      <c r="P16" s="11" t="s">
        <v>258</v>
      </c>
      <c r="Q16" s="11" t="s">
        <v>340</v>
      </c>
      <c r="R16" s="11" t="s">
        <v>340</v>
      </c>
      <c r="S16" s="11" t="s">
        <v>341</v>
      </c>
      <c r="T16" s="11" t="s">
        <v>227</v>
      </c>
      <c r="U16" s="11" t="s">
        <v>342</v>
      </c>
      <c r="V16" s="11"/>
    </row>
    <row r="17" spans="1:22" ht="15" customHeight="1" x14ac:dyDescent="0.35">
      <c r="A17" s="10" t="s">
        <v>343</v>
      </c>
      <c r="B17" s="10" t="s">
        <v>344</v>
      </c>
      <c r="C17" s="10" t="s">
        <v>345</v>
      </c>
      <c r="D17" s="10" t="s">
        <v>293</v>
      </c>
      <c r="E17" s="10" t="s">
        <v>192</v>
      </c>
      <c r="F17" s="10" t="s">
        <v>346</v>
      </c>
      <c r="G17" s="10" t="s">
        <v>219</v>
      </c>
      <c r="H17" s="10" t="s">
        <v>191</v>
      </c>
      <c r="I17" s="15" t="s">
        <v>141</v>
      </c>
      <c r="J17" s="17" t="s">
        <v>194</v>
      </c>
      <c r="K17" s="17" t="s">
        <v>347</v>
      </c>
      <c r="L17" s="10">
        <f t="shared" ca="1" si="0"/>
        <v>0</v>
      </c>
      <c r="M17" s="10" t="s">
        <v>305</v>
      </c>
      <c r="N17" s="10"/>
      <c r="O17" s="10" t="s">
        <v>205</v>
      </c>
      <c r="P17" s="10" t="s">
        <v>141</v>
      </c>
      <c r="Q17" s="10" t="s">
        <v>141</v>
      </c>
      <c r="R17" s="10" t="s">
        <v>141</v>
      </c>
      <c r="S17" s="10" t="s">
        <v>348</v>
      </c>
      <c r="T17" s="10" t="s">
        <v>219</v>
      </c>
      <c r="U17" s="10"/>
      <c r="V17" s="10"/>
    </row>
    <row r="18" spans="1:22" ht="15" customHeight="1" x14ac:dyDescent="0.35">
      <c r="A18" s="11" t="s">
        <v>349</v>
      </c>
      <c r="B18" s="11" t="s">
        <v>350</v>
      </c>
      <c r="C18" s="11" t="s">
        <v>254</v>
      </c>
      <c r="D18" s="11" t="s">
        <v>293</v>
      </c>
      <c r="E18" s="11" t="s">
        <v>197</v>
      </c>
      <c r="F18" s="11" t="s">
        <v>351</v>
      </c>
      <c r="G18" s="11" t="s">
        <v>219</v>
      </c>
      <c r="H18" s="11" t="s">
        <v>191</v>
      </c>
      <c r="I18" s="14" t="s">
        <v>141</v>
      </c>
      <c r="J18" s="16" t="s">
        <v>199</v>
      </c>
      <c r="K18" s="16" t="s">
        <v>318</v>
      </c>
      <c r="L18" s="11">
        <f t="shared" ca="1" si="0"/>
        <v>0</v>
      </c>
      <c r="M18" s="11" t="s">
        <v>290</v>
      </c>
      <c r="N18" s="11"/>
      <c r="O18" s="11" t="s">
        <v>278</v>
      </c>
      <c r="P18" s="11" t="s">
        <v>141</v>
      </c>
      <c r="Q18" s="11" t="s">
        <v>141</v>
      </c>
      <c r="R18" s="11" t="s">
        <v>141</v>
      </c>
      <c r="S18" s="11" t="s">
        <v>352</v>
      </c>
      <c r="T18" s="11" t="s">
        <v>227</v>
      </c>
      <c r="U18" s="11" t="s">
        <v>353</v>
      </c>
      <c r="V18" s="11"/>
    </row>
    <row r="19" spans="1:22" ht="15" customHeight="1" x14ac:dyDescent="0.35">
      <c r="A19" s="10" t="s">
        <v>354</v>
      </c>
      <c r="B19" s="10" t="s">
        <v>355</v>
      </c>
      <c r="C19" s="10" t="s">
        <v>307</v>
      </c>
      <c r="D19" s="10" t="s">
        <v>308</v>
      </c>
      <c r="E19" s="10" t="s">
        <v>186</v>
      </c>
      <c r="F19" s="10" t="s">
        <v>36</v>
      </c>
      <c r="G19" s="10" t="s">
        <v>215</v>
      </c>
      <c r="H19" s="10" t="s">
        <v>191</v>
      </c>
      <c r="I19" s="15" t="s">
        <v>141</v>
      </c>
      <c r="J19" s="17" t="s">
        <v>188</v>
      </c>
      <c r="K19" s="17" t="s">
        <v>356</v>
      </c>
      <c r="L19" s="10">
        <f t="shared" ca="1" si="0"/>
        <v>0</v>
      </c>
      <c r="M19" s="10" t="s">
        <v>305</v>
      </c>
      <c r="N19" s="10"/>
      <c r="O19" s="10" t="s">
        <v>176</v>
      </c>
      <c r="P19" s="10" t="s">
        <v>141</v>
      </c>
      <c r="Q19" s="10" t="s">
        <v>141</v>
      </c>
      <c r="R19" s="10" t="s">
        <v>141</v>
      </c>
      <c r="S19" s="10" t="s">
        <v>348</v>
      </c>
      <c r="T19" s="10" t="s">
        <v>215</v>
      </c>
      <c r="U19" s="10"/>
      <c r="V19" s="10"/>
    </row>
    <row r="20" spans="1:22" ht="15" customHeight="1" x14ac:dyDescent="0.35">
      <c r="A20" s="11" t="s">
        <v>357</v>
      </c>
      <c r="B20" s="11" t="s">
        <v>358</v>
      </c>
      <c r="C20" s="11" t="s">
        <v>214</v>
      </c>
      <c r="D20" s="11" t="s">
        <v>214</v>
      </c>
      <c r="E20" s="11" t="s">
        <v>172</v>
      </c>
      <c r="F20" s="11" t="s">
        <v>56</v>
      </c>
      <c r="G20" s="11" t="s">
        <v>219</v>
      </c>
      <c r="H20" s="11" t="s">
        <v>184</v>
      </c>
      <c r="I20" s="14" t="s">
        <v>359</v>
      </c>
      <c r="J20" s="16" t="s">
        <v>174</v>
      </c>
      <c r="K20" s="16" t="s">
        <v>332</v>
      </c>
      <c r="L20" s="11">
        <f t="shared" ca="1" si="0"/>
        <v>0</v>
      </c>
      <c r="M20" s="11"/>
      <c r="N20" s="11"/>
      <c r="O20" s="11" t="s">
        <v>258</v>
      </c>
      <c r="P20" s="11" t="s">
        <v>142</v>
      </c>
      <c r="Q20" s="11" t="s">
        <v>360</v>
      </c>
      <c r="R20" s="11" t="s">
        <v>360</v>
      </c>
      <c r="S20" s="11" t="s">
        <v>361</v>
      </c>
      <c r="T20" s="11" t="s">
        <v>227</v>
      </c>
      <c r="U20" s="11" t="s">
        <v>362</v>
      </c>
      <c r="V20" s="11"/>
    </row>
  </sheetData>
  <mergeCells count="3">
    <mergeCell ref="A1:V1"/>
    <mergeCell ref="A2:V2"/>
    <mergeCell ref="A3:V3"/>
  </mergeCells>
  <conditionalFormatting sqref="H6:H105">
    <cfRule type="cellIs" dxfId="3" priority="2" operator="equal">
      <formula>"Done"</formula>
    </cfRule>
    <cfRule type="cellIs" dxfId="2" priority="3" operator="equal">
      <formula>"In Progress"</formula>
    </cfRule>
    <cfRule type="cellIs" dxfId="1" priority="4" operator="equal">
      <formula>"Blocked"</formula>
    </cfRule>
    <cfRule type="cellIs" dxfId="0" priority="5" operator="equal">
      <formula>"Not Started"</formula>
    </cfRule>
  </conditionalFormatting>
  <dataValidations count="3">
    <dataValidation type="list" allowBlank="1" sqref="H6:H105" xr:uid="{00000000-0002-0000-0200-000000000000}">
      <formula1>"Not Started,In Progress,Review,Done,Blocked,Cancelled"</formula1>
      <formula2>0</formula2>
    </dataValidation>
    <dataValidation type="list" allowBlank="1" sqref="G6:G105 T6:T105" xr:uid="{00000000-0002-0000-0200-000001000000}">
      <formula1>"Critical,High,Medium,Low"</formula1>
      <formula2>0</formula2>
    </dataValidation>
    <dataValidation type="list" allowBlank="1" sqref="C6:C105" xr:uid="{00000000-0002-0000-0200-000003000000}">
      <formula1>"Engineering,AI/ML,Mobile,Web,Backend,DevOps,Design,Legal,HR,Finance,Marketing,Product"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97316"/>
  </sheetPr>
  <dimension ref="A1:J13"/>
  <sheetViews>
    <sheetView zoomScaleNormal="100" workbookViewId="0"/>
  </sheetViews>
  <sheetFormatPr defaultColWidth="8.6328125" defaultRowHeight="14.5" x14ac:dyDescent="0.35"/>
  <cols>
    <col min="1" max="1" width="18" customWidth="1"/>
    <col min="2" max="2" width="30" customWidth="1"/>
    <col min="3" max="3" width="16" customWidth="1"/>
    <col min="4" max="4" width="14" customWidth="1"/>
    <col min="5" max="7" width="18" customWidth="1"/>
    <col min="8" max="8" width="12" customWidth="1"/>
    <col min="9" max="9" width="14" customWidth="1"/>
    <col min="10" max="10" width="16" customWidth="1"/>
  </cols>
  <sheetData>
    <row r="1" spans="1:10" ht="39.75" customHeight="1" x14ac:dyDescent="0.35">
      <c r="A1" s="7" t="s">
        <v>363</v>
      </c>
      <c r="B1" s="7"/>
      <c r="C1" s="7"/>
      <c r="D1" s="7"/>
      <c r="E1" s="7"/>
      <c r="F1" s="7"/>
      <c r="G1" s="7"/>
      <c r="H1" s="7"/>
      <c r="I1" s="7"/>
      <c r="J1" s="7"/>
    </row>
    <row r="2" spans="1:10" ht="21.75" customHeight="1" x14ac:dyDescent="0.35">
      <c r="A2" s="6" t="s">
        <v>364</v>
      </c>
      <c r="B2" s="6"/>
      <c r="C2" s="6"/>
      <c r="D2" s="6"/>
      <c r="E2" s="6"/>
      <c r="F2" s="6"/>
      <c r="G2" s="6"/>
      <c r="H2" s="6"/>
      <c r="I2" s="6"/>
      <c r="J2" s="6"/>
    </row>
    <row r="3" spans="1:10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5" spans="1:10" ht="15" customHeight="1" x14ac:dyDescent="0.35">
      <c r="A5" s="13" t="s">
        <v>365</v>
      </c>
      <c r="B5" s="13" t="s">
        <v>366</v>
      </c>
      <c r="C5" s="13" t="s">
        <v>367</v>
      </c>
      <c r="D5" s="13" t="s">
        <v>368</v>
      </c>
      <c r="E5" s="13" t="s">
        <v>369</v>
      </c>
      <c r="F5" s="13" t="s">
        <v>370</v>
      </c>
      <c r="G5" s="13" t="s">
        <v>371</v>
      </c>
      <c r="H5" s="13" t="s">
        <v>372</v>
      </c>
      <c r="I5" s="13" t="s">
        <v>117</v>
      </c>
      <c r="J5" s="13" t="s">
        <v>118</v>
      </c>
    </row>
    <row r="6" spans="1:10" ht="23.25" customHeight="1" x14ac:dyDescent="0.35">
      <c r="A6" s="11" t="s">
        <v>373</v>
      </c>
      <c r="B6" s="11" t="s">
        <v>374</v>
      </c>
      <c r="C6" s="11" t="s">
        <v>375</v>
      </c>
      <c r="D6" s="11" t="s">
        <v>376</v>
      </c>
      <c r="E6" s="11" t="s">
        <v>377</v>
      </c>
      <c r="F6" s="11" t="s">
        <v>378</v>
      </c>
      <c r="G6" s="11" t="s">
        <v>379</v>
      </c>
      <c r="H6" s="11" t="s">
        <v>155</v>
      </c>
      <c r="I6" s="11" t="s">
        <v>380</v>
      </c>
      <c r="J6" s="11" t="s">
        <v>381</v>
      </c>
    </row>
    <row r="7" spans="1:10" ht="15" customHeight="1" x14ac:dyDescent="0.35">
      <c r="A7" s="10" t="s">
        <v>382</v>
      </c>
      <c r="B7" s="10" t="s">
        <v>383</v>
      </c>
      <c r="C7" s="10" t="s">
        <v>384</v>
      </c>
      <c r="D7" s="10" t="s">
        <v>376</v>
      </c>
      <c r="E7" s="10" t="s">
        <v>377</v>
      </c>
      <c r="F7" s="10" t="s">
        <v>385</v>
      </c>
      <c r="G7" s="10" t="s">
        <v>386</v>
      </c>
      <c r="H7" s="10" t="s">
        <v>387</v>
      </c>
      <c r="I7" s="10" t="s">
        <v>380</v>
      </c>
      <c r="J7" s="10" t="s">
        <v>388</v>
      </c>
    </row>
    <row r="8" spans="1:10" ht="15" customHeight="1" x14ac:dyDescent="0.35">
      <c r="A8" s="11" t="s">
        <v>389</v>
      </c>
      <c r="B8" s="11" t="s">
        <v>390</v>
      </c>
      <c r="C8" s="11" t="s">
        <v>376</v>
      </c>
      <c r="D8" s="11" t="s">
        <v>376</v>
      </c>
      <c r="E8" s="11" t="s">
        <v>377</v>
      </c>
      <c r="F8" s="11" t="s">
        <v>378</v>
      </c>
      <c r="G8" s="11" t="s">
        <v>391</v>
      </c>
      <c r="H8" s="11" t="s">
        <v>392</v>
      </c>
      <c r="I8" s="11" t="s">
        <v>393</v>
      </c>
      <c r="J8" s="11" t="s">
        <v>394</v>
      </c>
    </row>
    <row r="9" spans="1:10" ht="15" customHeight="1" x14ac:dyDescent="0.35">
      <c r="A9" s="10" t="s">
        <v>395</v>
      </c>
      <c r="B9" s="10" t="s">
        <v>396</v>
      </c>
      <c r="C9" s="10" t="s">
        <v>376</v>
      </c>
      <c r="D9" s="10" t="s">
        <v>376</v>
      </c>
      <c r="E9" s="10" t="s">
        <v>397</v>
      </c>
      <c r="F9" s="10" t="s">
        <v>398</v>
      </c>
      <c r="G9" s="10" t="s">
        <v>399</v>
      </c>
      <c r="H9" s="10" t="s">
        <v>387</v>
      </c>
      <c r="I9" s="10" t="s">
        <v>400</v>
      </c>
      <c r="J9" s="10" t="s">
        <v>401</v>
      </c>
    </row>
    <row r="10" spans="1:10" ht="15" customHeight="1" x14ac:dyDescent="0.35">
      <c r="A10" s="11" t="s">
        <v>402</v>
      </c>
      <c r="B10" s="11" t="s">
        <v>403</v>
      </c>
      <c r="C10" s="11" t="s">
        <v>376</v>
      </c>
      <c r="D10" s="11" t="s">
        <v>376</v>
      </c>
      <c r="E10" s="11" t="s">
        <v>377</v>
      </c>
      <c r="F10" s="11" t="s">
        <v>378</v>
      </c>
      <c r="G10" s="11" t="s">
        <v>404</v>
      </c>
      <c r="H10" s="11" t="s">
        <v>155</v>
      </c>
      <c r="I10" s="11" t="s">
        <v>380</v>
      </c>
      <c r="J10" s="11" t="s">
        <v>405</v>
      </c>
    </row>
    <row r="11" spans="1:10" ht="15" customHeight="1" x14ac:dyDescent="0.35">
      <c r="A11" s="10" t="s">
        <v>406</v>
      </c>
      <c r="B11" s="10" t="s">
        <v>407</v>
      </c>
      <c r="C11" s="10" t="s">
        <v>384</v>
      </c>
      <c r="D11" s="10" t="s">
        <v>375</v>
      </c>
      <c r="E11" s="10" t="s">
        <v>377</v>
      </c>
      <c r="F11" s="10" t="s">
        <v>408</v>
      </c>
      <c r="G11" s="10" t="s">
        <v>409</v>
      </c>
      <c r="H11" s="10" t="s">
        <v>410</v>
      </c>
      <c r="I11" s="10" t="s">
        <v>411</v>
      </c>
      <c r="J11" s="10" t="s">
        <v>412</v>
      </c>
    </row>
    <row r="12" spans="1:10" ht="15" customHeight="1" x14ac:dyDescent="0.35">
      <c r="A12" s="11" t="s">
        <v>413</v>
      </c>
      <c r="B12" s="11" t="s">
        <v>414</v>
      </c>
      <c r="C12" s="11" t="s">
        <v>376</v>
      </c>
      <c r="D12" s="11" t="s">
        <v>376</v>
      </c>
      <c r="E12" s="11" t="s">
        <v>377</v>
      </c>
      <c r="F12" s="11" t="s">
        <v>378</v>
      </c>
      <c r="G12" s="11" t="s">
        <v>415</v>
      </c>
      <c r="H12" s="11" t="s">
        <v>155</v>
      </c>
      <c r="I12" s="11" t="s">
        <v>380</v>
      </c>
      <c r="J12" s="11" t="s">
        <v>416</v>
      </c>
    </row>
    <row r="13" spans="1:10" ht="23.25" customHeight="1" x14ac:dyDescent="0.35">
      <c r="A13" s="10" t="s">
        <v>417</v>
      </c>
      <c r="B13" s="10" t="s">
        <v>418</v>
      </c>
      <c r="C13" s="10" t="s">
        <v>376</v>
      </c>
      <c r="D13" s="10" t="s">
        <v>376</v>
      </c>
      <c r="E13" s="10" t="s">
        <v>377</v>
      </c>
      <c r="F13" s="10" t="s">
        <v>378</v>
      </c>
      <c r="G13" s="10" t="s">
        <v>419</v>
      </c>
      <c r="H13" s="10" t="s">
        <v>387</v>
      </c>
      <c r="I13" s="10" t="s">
        <v>400</v>
      </c>
      <c r="J13" s="10" t="s">
        <v>420</v>
      </c>
    </row>
  </sheetData>
  <mergeCells count="3">
    <mergeCell ref="A1:J1"/>
    <mergeCell ref="A2:J2"/>
    <mergeCell ref="A3:J3"/>
  </mergeCells>
  <dataValidations count="2">
    <dataValidation type="list" allowBlank="1" sqref="J6:J50" xr:uid="{00000000-0002-0000-0300-000000000000}">
      <formula1>"Shortlisted,Top Pick,Under Review,Eliminated,Pending"</formula1>
      <formula2>0</formula2>
    </dataValidation>
    <dataValidation type="list" allowBlank="1" sqref="F6:F50" xr:uid="{00000000-0002-0000-0300-000001000000}">
      <formula1>"Clear,Pending Check,Conflict,Filed,Registered"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F4444"/>
  </sheetPr>
  <dimension ref="A1:J20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8" customWidth="1"/>
    <col min="2" max="2" width="20" customWidth="1"/>
    <col min="3" max="5" width="14" customWidth="1"/>
    <col min="6" max="6" width="16" customWidth="1"/>
    <col min="7" max="8" width="20" customWidth="1"/>
    <col min="9" max="9" width="10" customWidth="1"/>
    <col min="10" max="10" width="30" customWidth="1"/>
  </cols>
  <sheetData>
    <row r="1" spans="1:10" ht="39.75" customHeight="1" x14ac:dyDescent="0.35">
      <c r="A1" s="7" t="s">
        <v>421</v>
      </c>
      <c r="B1" s="7"/>
      <c r="C1" s="7"/>
      <c r="D1" s="7"/>
      <c r="E1" s="7"/>
      <c r="F1" s="7"/>
      <c r="G1" s="7"/>
      <c r="H1" s="7"/>
      <c r="I1" s="7"/>
    </row>
    <row r="2" spans="1:10" ht="21.75" customHeight="1" x14ac:dyDescent="0.35">
      <c r="A2" s="6" t="s">
        <v>422</v>
      </c>
      <c r="B2" s="6"/>
      <c r="C2" s="6"/>
      <c r="D2" s="6"/>
      <c r="E2" s="6"/>
      <c r="F2" s="6"/>
      <c r="G2" s="6"/>
      <c r="H2" s="6"/>
      <c r="I2" s="6"/>
    </row>
    <row r="3" spans="1:10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</row>
    <row r="5" spans="1:10" ht="15" customHeight="1" x14ac:dyDescent="0.35">
      <c r="A5" s="13" t="s">
        <v>423</v>
      </c>
      <c r="B5" s="13" t="s">
        <v>208</v>
      </c>
      <c r="C5" s="13" t="s">
        <v>117</v>
      </c>
      <c r="D5" s="13" t="s">
        <v>5</v>
      </c>
      <c r="E5" s="13" t="s">
        <v>424</v>
      </c>
      <c r="F5" s="13" t="s">
        <v>247</v>
      </c>
      <c r="G5" s="13" t="s">
        <v>425</v>
      </c>
      <c r="H5" s="13" t="s">
        <v>426</v>
      </c>
      <c r="I5" s="13" t="s">
        <v>207</v>
      </c>
      <c r="J5" s="13" t="s">
        <v>118</v>
      </c>
    </row>
    <row r="6" spans="1:10" ht="15" customHeight="1" x14ac:dyDescent="0.35">
      <c r="A6" s="11" t="s">
        <v>427</v>
      </c>
      <c r="B6" s="11" t="s">
        <v>428</v>
      </c>
      <c r="C6" s="11" t="s">
        <v>177</v>
      </c>
      <c r="D6" s="11" t="s">
        <v>56</v>
      </c>
      <c r="E6" s="11" t="s">
        <v>181</v>
      </c>
      <c r="F6" s="11" t="s">
        <v>429</v>
      </c>
      <c r="G6" s="11" t="s">
        <v>430</v>
      </c>
      <c r="H6" s="11" t="s">
        <v>431</v>
      </c>
      <c r="I6" s="11" t="s">
        <v>215</v>
      </c>
      <c r="J6" s="11" t="s">
        <v>432</v>
      </c>
    </row>
    <row r="7" spans="1:10" ht="15" customHeight="1" x14ac:dyDescent="0.35">
      <c r="A7" s="10" t="s">
        <v>433</v>
      </c>
      <c r="B7" s="10" t="s">
        <v>434</v>
      </c>
      <c r="C7" s="10" t="s">
        <v>184</v>
      </c>
      <c r="D7" s="10" t="s">
        <v>130</v>
      </c>
      <c r="E7" s="10" t="s">
        <v>332</v>
      </c>
      <c r="F7" s="10" t="s">
        <v>141</v>
      </c>
      <c r="G7" s="10" t="s">
        <v>435</v>
      </c>
      <c r="H7" s="10" t="s">
        <v>436</v>
      </c>
      <c r="I7" s="10" t="s">
        <v>219</v>
      </c>
      <c r="J7" s="10" t="s">
        <v>437</v>
      </c>
    </row>
    <row r="8" spans="1:10" ht="15" customHeight="1" x14ac:dyDescent="0.35">
      <c r="A8" s="11" t="s">
        <v>438</v>
      </c>
      <c r="B8" s="11" t="s">
        <v>434</v>
      </c>
      <c r="C8" s="11" t="s">
        <v>177</v>
      </c>
      <c r="D8" s="11" t="s">
        <v>130</v>
      </c>
      <c r="E8" s="11" t="s">
        <v>286</v>
      </c>
      <c r="F8" s="11" t="s">
        <v>141</v>
      </c>
      <c r="G8" s="11" t="s">
        <v>439</v>
      </c>
      <c r="H8" s="11" t="s">
        <v>436</v>
      </c>
      <c r="I8" s="11" t="s">
        <v>227</v>
      </c>
      <c r="J8" s="11" t="s">
        <v>440</v>
      </c>
    </row>
    <row r="9" spans="1:10" ht="15" customHeight="1" x14ac:dyDescent="0.35">
      <c r="A9" s="10" t="s">
        <v>441</v>
      </c>
      <c r="B9" s="10" t="s">
        <v>442</v>
      </c>
      <c r="C9" s="10" t="s">
        <v>184</v>
      </c>
      <c r="D9" s="10" t="s">
        <v>56</v>
      </c>
      <c r="E9" s="10" t="s">
        <v>443</v>
      </c>
      <c r="F9" s="10" t="s">
        <v>141</v>
      </c>
      <c r="G9" s="10" t="s">
        <v>439</v>
      </c>
      <c r="H9" s="10" t="s">
        <v>436</v>
      </c>
      <c r="I9" s="10" t="s">
        <v>219</v>
      </c>
      <c r="J9" s="10" t="s">
        <v>444</v>
      </c>
    </row>
    <row r="10" spans="1:10" ht="15" customHeight="1" x14ac:dyDescent="0.35">
      <c r="A10" s="11" t="s">
        <v>445</v>
      </c>
      <c r="B10" s="11" t="s">
        <v>446</v>
      </c>
      <c r="C10" s="11" t="s">
        <v>398</v>
      </c>
      <c r="D10" s="11" t="s">
        <v>27</v>
      </c>
      <c r="E10" s="11" t="s">
        <v>447</v>
      </c>
      <c r="F10" s="11" t="s">
        <v>448</v>
      </c>
      <c r="G10" s="11" t="s">
        <v>449</v>
      </c>
      <c r="H10" s="11" t="s">
        <v>450</v>
      </c>
      <c r="I10" s="11" t="s">
        <v>215</v>
      </c>
      <c r="J10" s="11" t="s">
        <v>451</v>
      </c>
    </row>
    <row r="11" spans="1:10" ht="15" customHeight="1" x14ac:dyDescent="0.35">
      <c r="A11" s="10" t="s">
        <v>452</v>
      </c>
      <c r="B11" s="10" t="s">
        <v>453</v>
      </c>
      <c r="C11" s="10" t="s">
        <v>177</v>
      </c>
      <c r="D11" s="10" t="s">
        <v>27</v>
      </c>
      <c r="E11" s="10" t="s">
        <v>310</v>
      </c>
      <c r="F11" s="10" t="s">
        <v>324</v>
      </c>
      <c r="G11" s="10" t="s">
        <v>454</v>
      </c>
      <c r="H11" s="10" t="s">
        <v>431</v>
      </c>
      <c r="I11" s="10" t="s">
        <v>215</v>
      </c>
      <c r="J11" s="10" t="s">
        <v>455</v>
      </c>
    </row>
    <row r="12" spans="1:10" ht="15" customHeight="1" x14ac:dyDescent="0.35">
      <c r="A12" s="11" t="s">
        <v>456</v>
      </c>
      <c r="B12" s="11" t="s">
        <v>214</v>
      </c>
      <c r="C12" s="11" t="s">
        <v>177</v>
      </c>
      <c r="D12" s="11" t="s">
        <v>27</v>
      </c>
      <c r="E12" s="11" t="s">
        <v>310</v>
      </c>
      <c r="F12" s="11" t="s">
        <v>448</v>
      </c>
      <c r="G12" s="11" t="s">
        <v>454</v>
      </c>
      <c r="H12" s="11" t="s">
        <v>431</v>
      </c>
      <c r="I12" s="11" t="s">
        <v>219</v>
      </c>
      <c r="J12" s="11" t="s">
        <v>457</v>
      </c>
    </row>
    <row r="13" spans="1:10" ht="15" customHeight="1" x14ac:dyDescent="0.35">
      <c r="A13" s="10" t="s">
        <v>458</v>
      </c>
      <c r="B13" s="10" t="s">
        <v>459</v>
      </c>
      <c r="C13" s="10" t="s">
        <v>184</v>
      </c>
      <c r="D13" s="10" t="s">
        <v>27</v>
      </c>
      <c r="E13" s="10" t="s">
        <v>460</v>
      </c>
      <c r="F13" s="10" t="s">
        <v>311</v>
      </c>
      <c r="G13" s="10" t="s">
        <v>461</v>
      </c>
      <c r="H13" s="10" t="s">
        <v>431</v>
      </c>
      <c r="I13" s="10" t="s">
        <v>228</v>
      </c>
      <c r="J13" s="10" t="s">
        <v>462</v>
      </c>
    </row>
    <row r="14" spans="1:10" ht="15" customHeight="1" x14ac:dyDescent="0.35">
      <c r="A14" s="11" t="s">
        <v>463</v>
      </c>
      <c r="B14" s="11" t="s">
        <v>226</v>
      </c>
      <c r="C14" s="11" t="s">
        <v>398</v>
      </c>
      <c r="D14" s="11" t="s">
        <v>50</v>
      </c>
      <c r="E14" s="11" t="s">
        <v>464</v>
      </c>
      <c r="F14" s="11" t="s">
        <v>465</v>
      </c>
      <c r="G14" s="11" t="s">
        <v>466</v>
      </c>
      <c r="H14" s="11" t="s">
        <v>283</v>
      </c>
      <c r="I14" s="11" t="s">
        <v>215</v>
      </c>
      <c r="J14" s="11" t="s">
        <v>467</v>
      </c>
    </row>
    <row r="15" spans="1:10" ht="15" customHeight="1" x14ac:dyDescent="0.35">
      <c r="A15" s="10" t="s">
        <v>468</v>
      </c>
      <c r="B15" s="10" t="s">
        <v>226</v>
      </c>
      <c r="C15" s="10" t="s">
        <v>398</v>
      </c>
      <c r="D15" s="10" t="s">
        <v>50</v>
      </c>
      <c r="E15" s="10" t="s">
        <v>469</v>
      </c>
      <c r="F15" s="10" t="s">
        <v>141</v>
      </c>
      <c r="G15" s="10" t="s">
        <v>470</v>
      </c>
      <c r="H15" s="10" t="s">
        <v>338</v>
      </c>
      <c r="I15" s="10" t="s">
        <v>215</v>
      </c>
      <c r="J15" s="10" t="s">
        <v>471</v>
      </c>
    </row>
    <row r="16" spans="1:10" ht="15" customHeight="1" x14ac:dyDescent="0.35">
      <c r="A16" s="11" t="s">
        <v>472</v>
      </c>
      <c r="B16" s="11" t="s">
        <v>473</v>
      </c>
      <c r="C16" s="11" t="s">
        <v>184</v>
      </c>
      <c r="D16" s="11" t="s">
        <v>156</v>
      </c>
      <c r="E16" s="11" t="s">
        <v>474</v>
      </c>
      <c r="F16" s="11" t="s">
        <v>475</v>
      </c>
      <c r="G16" s="11" t="s">
        <v>454</v>
      </c>
      <c r="H16" s="11" t="s">
        <v>330</v>
      </c>
      <c r="I16" s="11" t="s">
        <v>219</v>
      </c>
      <c r="J16" s="11" t="s">
        <v>476</v>
      </c>
    </row>
    <row r="17" spans="1:10" ht="15" customHeight="1" x14ac:dyDescent="0.35">
      <c r="A17" s="10" t="s">
        <v>477</v>
      </c>
      <c r="B17" s="10" t="s">
        <v>478</v>
      </c>
      <c r="C17" s="10" t="s">
        <v>398</v>
      </c>
      <c r="D17" s="10" t="s">
        <v>87</v>
      </c>
      <c r="E17" s="10" t="s">
        <v>447</v>
      </c>
      <c r="F17" s="10" t="s">
        <v>429</v>
      </c>
      <c r="G17" s="10" t="s">
        <v>454</v>
      </c>
      <c r="H17" s="10" t="s">
        <v>254</v>
      </c>
      <c r="I17" s="10" t="s">
        <v>227</v>
      </c>
      <c r="J17" s="10" t="s">
        <v>479</v>
      </c>
    </row>
    <row r="18" spans="1:10" ht="15" customHeight="1" x14ac:dyDescent="0.35">
      <c r="A18" s="11" t="s">
        <v>480</v>
      </c>
      <c r="B18" s="11" t="s">
        <v>442</v>
      </c>
      <c r="C18" s="11" t="s">
        <v>177</v>
      </c>
      <c r="D18" s="11" t="s">
        <v>130</v>
      </c>
      <c r="E18" s="11" t="s">
        <v>286</v>
      </c>
      <c r="F18" s="11" t="s">
        <v>141</v>
      </c>
      <c r="G18" s="11" t="s">
        <v>439</v>
      </c>
      <c r="H18" s="11" t="s">
        <v>436</v>
      </c>
      <c r="I18" s="11" t="s">
        <v>227</v>
      </c>
      <c r="J18" s="11" t="s">
        <v>177</v>
      </c>
    </row>
    <row r="19" spans="1:10" ht="15" customHeight="1" x14ac:dyDescent="0.35">
      <c r="A19" s="10" t="s">
        <v>481</v>
      </c>
      <c r="B19" s="10" t="s">
        <v>459</v>
      </c>
      <c r="C19" s="10" t="s">
        <v>398</v>
      </c>
      <c r="D19" s="10" t="s">
        <v>27</v>
      </c>
      <c r="E19" s="10" t="s">
        <v>482</v>
      </c>
      <c r="F19" s="10" t="s">
        <v>483</v>
      </c>
      <c r="G19" s="10" t="s">
        <v>484</v>
      </c>
      <c r="H19" s="10" t="s">
        <v>485</v>
      </c>
      <c r="I19" s="10" t="s">
        <v>228</v>
      </c>
      <c r="J19" s="10" t="s">
        <v>486</v>
      </c>
    </row>
    <row r="20" spans="1:10" ht="15" customHeight="1" x14ac:dyDescent="0.35">
      <c r="A20" s="11" t="s">
        <v>487</v>
      </c>
      <c r="B20" s="11" t="s">
        <v>226</v>
      </c>
      <c r="C20" s="11" t="s">
        <v>398</v>
      </c>
      <c r="D20" s="11" t="s">
        <v>50</v>
      </c>
      <c r="E20" s="11" t="s">
        <v>488</v>
      </c>
      <c r="F20" s="11" t="s">
        <v>489</v>
      </c>
      <c r="G20" s="11" t="s">
        <v>490</v>
      </c>
      <c r="H20" s="11" t="s">
        <v>491</v>
      </c>
      <c r="I20" s="11" t="s">
        <v>219</v>
      </c>
      <c r="J20" s="11" t="s">
        <v>492</v>
      </c>
    </row>
  </sheetData>
  <mergeCells count="3">
    <mergeCell ref="A1:I1"/>
    <mergeCell ref="A2:I2"/>
    <mergeCell ref="A3:I3"/>
  </mergeCells>
  <dataValidations count="2">
    <dataValidation type="list" allowBlank="1" sqref="C6:C50" xr:uid="{00000000-0002-0000-0400-000000000000}">
      <formula1>"Not Started,In Progress,Done,Pending,Blocked,Filed"</formula1>
      <formula2>0</formula2>
    </dataValidation>
    <dataValidation type="list" allowBlank="1" sqref="I6:I50" xr:uid="{00000000-0002-0000-0400-000001000000}">
      <formula1>"Critical,High,Medium,Low"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B82F6"/>
  </sheetPr>
  <dimension ref="A1:N20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14" customWidth="1"/>
    <col min="3" max="3" width="16" customWidth="1"/>
    <col min="4" max="6" width="12" customWidth="1"/>
    <col min="7" max="7" width="14" customWidth="1"/>
    <col min="8" max="8" width="10" customWidth="1"/>
    <col min="9" max="9" width="14" customWidth="1"/>
    <col min="10" max="11" width="16" customWidth="1"/>
    <col min="12" max="12" width="14" customWidth="1"/>
    <col min="13" max="14" width="16" customWidth="1"/>
  </cols>
  <sheetData>
    <row r="1" spans="1:14" ht="39.75" customHeight="1" x14ac:dyDescent="0.35">
      <c r="A1" s="7" t="s">
        <v>493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1.75" customHeight="1" x14ac:dyDescent="0.35">
      <c r="A2" s="6" t="s">
        <v>494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5" spans="1:14" ht="23.25" customHeight="1" x14ac:dyDescent="0.35">
      <c r="A5" s="13" t="s">
        <v>495</v>
      </c>
      <c r="B5" s="13" t="s">
        <v>496</v>
      </c>
      <c r="C5" s="13" t="s">
        <v>497</v>
      </c>
      <c r="D5" s="13" t="s">
        <v>498</v>
      </c>
      <c r="E5" s="13" t="s">
        <v>499</v>
      </c>
      <c r="F5" s="13" t="s">
        <v>500</v>
      </c>
      <c r="G5" s="13" t="s">
        <v>501</v>
      </c>
      <c r="H5" s="13" t="s">
        <v>164</v>
      </c>
      <c r="I5" s="13" t="s">
        <v>5</v>
      </c>
      <c r="J5" s="13" t="s">
        <v>502</v>
      </c>
      <c r="K5" s="13" t="s">
        <v>503</v>
      </c>
      <c r="L5" s="13" t="s">
        <v>504</v>
      </c>
      <c r="M5" s="13" t="s">
        <v>505</v>
      </c>
      <c r="N5" s="13" t="s">
        <v>506</v>
      </c>
    </row>
    <row r="6" spans="1:14" ht="15" customHeight="1" x14ac:dyDescent="0.35">
      <c r="A6" s="11" t="s">
        <v>507</v>
      </c>
      <c r="B6" s="11" t="s">
        <v>508</v>
      </c>
      <c r="C6" s="11" t="s">
        <v>509</v>
      </c>
      <c r="D6" s="11" t="s">
        <v>215</v>
      </c>
      <c r="E6" s="11" t="s">
        <v>219</v>
      </c>
      <c r="F6" s="11" t="s">
        <v>299</v>
      </c>
      <c r="G6" s="11">
        <v>5</v>
      </c>
      <c r="H6" s="11" t="s">
        <v>179</v>
      </c>
      <c r="I6" s="11" t="s">
        <v>41</v>
      </c>
      <c r="J6" s="11" t="s">
        <v>177</v>
      </c>
      <c r="K6" s="11" t="s">
        <v>184</v>
      </c>
      <c r="L6" s="11" t="s">
        <v>398</v>
      </c>
      <c r="M6" s="11" t="s">
        <v>510</v>
      </c>
      <c r="N6" s="14" t="s">
        <v>511</v>
      </c>
    </row>
    <row r="7" spans="1:14" ht="15" customHeight="1" x14ac:dyDescent="0.35">
      <c r="A7" s="10" t="s">
        <v>512</v>
      </c>
      <c r="B7" s="10" t="s">
        <v>508</v>
      </c>
      <c r="C7" s="10" t="s">
        <v>292</v>
      </c>
      <c r="D7" s="10" t="s">
        <v>215</v>
      </c>
      <c r="E7" s="10" t="s">
        <v>227</v>
      </c>
      <c r="F7" s="10" t="s">
        <v>387</v>
      </c>
      <c r="G7" s="10">
        <v>7</v>
      </c>
      <c r="H7" s="10" t="s">
        <v>179</v>
      </c>
      <c r="I7" s="10" t="s">
        <v>41</v>
      </c>
      <c r="J7" s="10" t="s">
        <v>177</v>
      </c>
      <c r="K7" s="10" t="s">
        <v>184</v>
      </c>
      <c r="L7" s="10" t="s">
        <v>398</v>
      </c>
      <c r="M7" s="10" t="s">
        <v>510</v>
      </c>
      <c r="N7" s="15" t="s">
        <v>513</v>
      </c>
    </row>
    <row r="8" spans="1:14" ht="15" customHeight="1" x14ac:dyDescent="0.35">
      <c r="A8" s="11" t="s">
        <v>514</v>
      </c>
      <c r="B8" s="11" t="s">
        <v>508</v>
      </c>
      <c r="C8" s="11" t="s">
        <v>509</v>
      </c>
      <c r="D8" s="11" t="s">
        <v>215</v>
      </c>
      <c r="E8" s="11" t="s">
        <v>219</v>
      </c>
      <c r="F8" s="11" t="s">
        <v>287</v>
      </c>
      <c r="G8" s="11">
        <v>5</v>
      </c>
      <c r="H8" s="11" t="s">
        <v>186</v>
      </c>
      <c r="I8" s="11" t="s">
        <v>41</v>
      </c>
      <c r="J8" s="11" t="s">
        <v>184</v>
      </c>
      <c r="K8" s="11" t="s">
        <v>191</v>
      </c>
      <c r="L8" s="11" t="s">
        <v>398</v>
      </c>
      <c r="M8" s="11" t="s">
        <v>510</v>
      </c>
      <c r="N8" s="14" t="s">
        <v>515</v>
      </c>
    </row>
    <row r="9" spans="1:14" ht="15" customHeight="1" x14ac:dyDescent="0.35">
      <c r="A9" s="10" t="s">
        <v>516</v>
      </c>
      <c r="B9" s="10" t="s">
        <v>308</v>
      </c>
      <c r="C9" s="10" t="s">
        <v>509</v>
      </c>
      <c r="D9" s="10" t="s">
        <v>228</v>
      </c>
      <c r="E9" s="10" t="s">
        <v>215</v>
      </c>
      <c r="F9" s="10" t="s">
        <v>278</v>
      </c>
      <c r="G9" s="10">
        <v>6</v>
      </c>
      <c r="H9" s="10" t="s">
        <v>192</v>
      </c>
      <c r="I9" s="10" t="s">
        <v>36</v>
      </c>
      <c r="J9" s="10" t="s">
        <v>517</v>
      </c>
      <c r="K9" s="10" t="s">
        <v>191</v>
      </c>
      <c r="L9" s="10" t="s">
        <v>398</v>
      </c>
      <c r="M9" s="10" t="s">
        <v>518</v>
      </c>
      <c r="N9" s="15" t="s">
        <v>519</v>
      </c>
    </row>
    <row r="10" spans="1:14" ht="15" customHeight="1" x14ac:dyDescent="0.35">
      <c r="A10" s="11" t="s">
        <v>520</v>
      </c>
      <c r="B10" s="11" t="s">
        <v>308</v>
      </c>
      <c r="C10" s="11" t="s">
        <v>509</v>
      </c>
      <c r="D10" s="11" t="s">
        <v>215</v>
      </c>
      <c r="E10" s="11" t="s">
        <v>215</v>
      </c>
      <c r="F10" s="11" t="s">
        <v>521</v>
      </c>
      <c r="G10" s="11">
        <v>3</v>
      </c>
      <c r="H10" s="11" t="s">
        <v>192</v>
      </c>
      <c r="I10" s="11" t="s">
        <v>36</v>
      </c>
      <c r="J10" s="11" t="s">
        <v>517</v>
      </c>
      <c r="K10" s="11" t="s">
        <v>191</v>
      </c>
      <c r="L10" s="11" t="s">
        <v>398</v>
      </c>
      <c r="M10" s="11" t="s">
        <v>518</v>
      </c>
      <c r="N10" s="14" t="s">
        <v>519</v>
      </c>
    </row>
    <row r="11" spans="1:14" ht="15" customHeight="1" x14ac:dyDescent="0.35">
      <c r="A11" s="10" t="s">
        <v>522</v>
      </c>
      <c r="B11" s="10" t="s">
        <v>317</v>
      </c>
      <c r="C11" s="10" t="s">
        <v>292</v>
      </c>
      <c r="D11" s="10" t="s">
        <v>228</v>
      </c>
      <c r="E11" s="10" t="s">
        <v>215</v>
      </c>
      <c r="F11" s="10" t="s">
        <v>126</v>
      </c>
      <c r="G11" s="10">
        <v>6</v>
      </c>
      <c r="H11" s="10" t="s">
        <v>197</v>
      </c>
      <c r="I11" s="10" t="s">
        <v>47</v>
      </c>
      <c r="J11" s="10" t="s">
        <v>191</v>
      </c>
      <c r="K11" s="10" t="s">
        <v>191</v>
      </c>
      <c r="L11" s="10" t="s">
        <v>398</v>
      </c>
      <c r="M11" s="10" t="s">
        <v>518</v>
      </c>
      <c r="N11" s="15" t="s">
        <v>523</v>
      </c>
    </row>
    <row r="12" spans="1:14" ht="15" customHeight="1" x14ac:dyDescent="0.35">
      <c r="A12" s="11" t="s">
        <v>524</v>
      </c>
      <c r="B12" s="11" t="s">
        <v>308</v>
      </c>
      <c r="C12" s="11" t="s">
        <v>509</v>
      </c>
      <c r="D12" s="11" t="s">
        <v>219</v>
      </c>
      <c r="E12" s="11" t="s">
        <v>215</v>
      </c>
      <c r="F12" s="11" t="s">
        <v>278</v>
      </c>
      <c r="G12" s="11">
        <v>0</v>
      </c>
      <c r="H12" s="11" t="s">
        <v>197</v>
      </c>
      <c r="I12" s="11" t="s">
        <v>36</v>
      </c>
      <c r="J12" s="11" t="s">
        <v>191</v>
      </c>
      <c r="K12" s="11" t="s">
        <v>191</v>
      </c>
      <c r="L12" s="11" t="s">
        <v>398</v>
      </c>
      <c r="M12" s="11" t="s">
        <v>518</v>
      </c>
      <c r="N12" s="14" t="s">
        <v>525</v>
      </c>
    </row>
    <row r="13" spans="1:14" ht="15" customHeight="1" x14ac:dyDescent="0.35">
      <c r="A13" s="10" t="s">
        <v>526</v>
      </c>
      <c r="B13" s="10" t="s">
        <v>508</v>
      </c>
      <c r="C13" s="10" t="s">
        <v>509</v>
      </c>
      <c r="D13" s="10" t="s">
        <v>215</v>
      </c>
      <c r="E13" s="10" t="s">
        <v>215</v>
      </c>
      <c r="F13" s="10" t="s">
        <v>527</v>
      </c>
      <c r="G13" s="10">
        <v>3</v>
      </c>
      <c r="H13" s="10" t="s">
        <v>201</v>
      </c>
      <c r="I13" s="10" t="s">
        <v>528</v>
      </c>
      <c r="J13" s="10" t="s">
        <v>191</v>
      </c>
      <c r="K13" s="10" t="s">
        <v>191</v>
      </c>
      <c r="L13" s="10" t="s">
        <v>398</v>
      </c>
      <c r="M13" s="10" t="s">
        <v>529</v>
      </c>
      <c r="N13" s="15" t="s">
        <v>525</v>
      </c>
    </row>
    <row r="14" spans="1:14" ht="15" customHeight="1" x14ac:dyDescent="0.35">
      <c r="A14" s="11" t="s">
        <v>530</v>
      </c>
      <c r="B14" s="11" t="s">
        <v>508</v>
      </c>
      <c r="C14" s="11" t="s">
        <v>292</v>
      </c>
      <c r="D14" s="11" t="s">
        <v>219</v>
      </c>
      <c r="E14" s="11" t="s">
        <v>219</v>
      </c>
      <c r="F14" s="11" t="s">
        <v>299</v>
      </c>
      <c r="G14" s="11">
        <v>2</v>
      </c>
      <c r="H14" s="11" t="s">
        <v>201</v>
      </c>
      <c r="I14" s="11" t="s">
        <v>41</v>
      </c>
      <c r="J14" s="11" t="s">
        <v>191</v>
      </c>
      <c r="K14" s="11" t="s">
        <v>191</v>
      </c>
      <c r="L14" s="11" t="s">
        <v>398</v>
      </c>
      <c r="M14" s="11" t="s">
        <v>529</v>
      </c>
      <c r="N14" s="14" t="s">
        <v>525</v>
      </c>
    </row>
    <row r="15" spans="1:14" ht="15" customHeight="1" x14ac:dyDescent="0.35">
      <c r="A15" s="10" t="s">
        <v>531</v>
      </c>
      <c r="B15" s="10" t="s">
        <v>508</v>
      </c>
      <c r="C15" s="10" t="s">
        <v>292</v>
      </c>
      <c r="D15" s="10" t="s">
        <v>215</v>
      </c>
      <c r="E15" s="10" t="s">
        <v>227</v>
      </c>
      <c r="F15" s="10" t="s">
        <v>410</v>
      </c>
      <c r="G15" s="10">
        <v>7</v>
      </c>
      <c r="H15" s="10" t="s">
        <v>186</v>
      </c>
      <c r="I15" s="10" t="s">
        <v>47</v>
      </c>
      <c r="J15" s="10" t="s">
        <v>191</v>
      </c>
      <c r="K15" s="10" t="s">
        <v>191</v>
      </c>
      <c r="L15" s="10" t="s">
        <v>398</v>
      </c>
      <c r="M15" s="10" t="s">
        <v>510</v>
      </c>
      <c r="N15" s="15" t="s">
        <v>525</v>
      </c>
    </row>
    <row r="16" spans="1:14" ht="15" customHeight="1" x14ac:dyDescent="0.35">
      <c r="A16" s="11" t="s">
        <v>532</v>
      </c>
      <c r="B16" s="11" t="s">
        <v>308</v>
      </c>
      <c r="C16" s="11" t="s">
        <v>345</v>
      </c>
      <c r="D16" s="11" t="s">
        <v>215</v>
      </c>
      <c r="E16" s="11" t="s">
        <v>215</v>
      </c>
      <c r="F16" s="11" t="s">
        <v>126</v>
      </c>
      <c r="G16" s="11">
        <v>3</v>
      </c>
      <c r="H16" s="11" t="s">
        <v>192</v>
      </c>
      <c r="I16" s="11" t="s">
        <v>346</v>
      </c>
      <c r="J16" s="11" t="s">
        <v>191</v>
      </c>
      <c r="K16" s="11" t="s">
        <v>191</v>
      </c>
      <c r="L16" s="11" t="s">
        <v>398</v>
      </c>
      <c r="M16" s="11" t="s">
        <v>518</v>
      </c>
      <c r="N16" s="14" t="s">
        <v>525</v>
      </c>
    </row>
    <row r="17" spans="1:14" ht="15" customHeight="1" x14ac:dyDescent="0.35">
      <c r="A17" s="10" t="s">
        <v>533</v>
      </c>
      <c r="B17" s="10" t="s">
        <v>308</v>
      </c>
      <c r="C17" s="10" t="s">
        <v>292</v>
      </c>
      <c r="D17" s="10" t="s">
        <v>219</v>
      </c>
      <c r="E17" s="10" t="s">
        <v>228</v>
      </c>
      <c r="F17" s="10" t="s">
        <v>534</v>
      </c>
      <c r="G17" s="10">
        <v>-2</v>
      </c>
      <c r="H17" s="10" t="s">
        <v>491</v>
      </c>
      <c r="I17" s="10" t="s">
        <v>36</v>
      </c>
      <c r="J17" s="10" t="s">
        <v>191</v>
      </c>
      <c r="K17" s="10" t="s">
        <v>191</v>
      </c>
      <c r="L17" s="10" t="s">
        <v>398</v>
      </c>
      <c r="M17" s="10" t="s">
        <v>535</v>
      </c>
      <c r="N17" s="15" t="s">
        <v>525</v>
      </c>
    </row>
    <row r="18" spans="1:14" ht="15" customHeight="1" x14ac:dyDescent="0.35">
      <c r="A18" s="11" t="s">
        <v>536</v>
      </c>
      <c r="B18" s="11" t="s">
        <v>508</v>
      </c>
      <c r="C18" s="11" t="s">
        <v>509</v>
      </c>
      <c r="D18" s="11" t="s">
        <v>215</v>
      </c>
      <c r="E18" s="11" t="s">
        <v>219</v>
      </c>
      <c r="F18" s="11" t="s">
        <v>127</v>
      </c>
      <c r="G18" s="11">
        <v>5</v>
      </c>
      <c r="H18" s="11" t="s">
        <v>197</v>
      </c>
      <c r="I18" s="11" t="s">
        <v>528</v>
      </c>
      <c r="J18" s="11" t="s">
        <v>191</v>
      </c>
      <c r="K18" s="11" t="s">
        <v>191</v>
      </c>
      <c r="L18" s="11" t="s">
        <v>398</v>
      </c>
      <c r="M18" s="11" t="s">
        <v>518</v>
      </c>
      <c r="N18" s="14" t="s">
        <v>525</v>
      </c>
    </row>
    <row r="19" spans="1:14" ht="15" customHeight="1" x14ac:dyDescent="0.35">
      <c r="A19" s="10" t="s">
        <v>537</v>
      </c>
      <c r="B19" s="10" t="s">
        <v>308</v>
      </c>
      <c r="C19" s="10" t="s">
        <v>509</v>
      </c>
      <c r="D19" s="10" t="s">
        <v>219</v>
      </c>
      <c r="E19" s="10" t="s">
        <v>215</v>
      </c>
      <c r="F19" s="10" t="s">
        <v>278</v>
      </c>
      <c r="G19" s="10">
        <v>0</v>
      </c>
      <c r="H19" s="10" t="s">
        <v>491</v>
      </c>
      <c r="I19" s="10" t="s">
        <v>36</v>
      </c>
      <c r="J19" s="10" t="s">
        <v>191</v>
      </c>
      <c r="K19" s="10" t="s">
        <v>191</v>
      </c>
      <c r="L19" s="10" t="s">
        <v>398</v>
      </c>
      <c r="M19" s="10" t="s">
        <v>535</v>
      </c>
      <c r="N19" s="15" t="s">
        <v>525</v>
      </c>
    </row>
    <row r="20" spans="1:14" ht="15" customHeight="1" x14ac:dyDescent="0.35">
      <c r="A20" s="11" t="s">
        <v>538</v>
      </c>
      <c r="B20" s="11" t="s">
        <v>226</v>
      </c>
      <c r="C20" s="11" t="s">
        <v>509</v>
      </c>
      <c r="D20" s="11" t="s">
        <v>219</v>
      </c>
      <c r="E20" s="11" t="s">
        <v>219</v>
      </c>
      <c r="F20" s="11" t="s">
        <v>287</v>
      </c>
      <c r="G20" s="11">
        <v>2</v>
      </c>
      <c r="H20" s="11" t="s">
        <v>491</v>
      </c>
      <c r="I20" s="11" t="s">
        <v>47</v>
      </c>
      <c r="J20" s="11" t="s">
        <v>191</v>
      </c>
      <c r="K20" s="11" t="s">
        <v>191</v>
      </c>
      <c r="L20" s="11" t="s">
        <v>398</v>
      </c>
      <c r="M20" s="11" t="s">
        <v>535</v>
      </c>
      <c r="N20" s="14" t="s">
        <v>525</v>
      </c>
    </row>
  </sheetData>
  <mergeCells count="3">
    <mergeCell ref="A1:N1"/>
    <mergeCell ref="A2:N2"/>
    <mergeCell ref="A3:N3"/>
  </mergeCells>
  <dataValidations count="3">
    <dataValidation type="list" allowBlank="1" sqref="J6:J50" xr:uid="{00000000-0002-0000-0500-000000000000}">
      <formula1>"Not Started,In Progress,Done,Review"</formula1>
      <formula2>0</formula2>
    </dataValidation>
    <dataValidation type="list" allowBlank="1" sqref="K6:K50" xr:uid="{00000000-0002-0000-0500-000001000000}">
      <formula1>"Not Started,In Progress,Done,Review,Blocked"</formula1>
      <formula2>0</formula2>
    </dataValidation>
    <dataValidation type="list" allowBlank="1" sqref="L6:L50" xr:uid="{00000000-0002-0000-0500-000002000000}">
      <formula1>"Pending,In Progress,Passed,Failed"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B82F6"/>
  </sheetPr>
  <dimension ref="A1:L34"/>
  <sheetViews>
    <sheetView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40" customWidth="1"/>
    <col min="3" max="3" width="8" customWidth="1"/>
    <col min="4" max="4" width="10" customWidth="1"/>
    <col min="5" max="6" width="14" customWidth="1"/>
    <col min="7" max="11" width="8" customWidth="1"/>
    <col min="12" max="12" width="20" customWidth="1"/>
  </cols>
  <sheetData>
    <row r="1" spans="1:12" ht="39.75" customHeight="1" x14ac:dyDescent="0.35">
      <c r="A1" s="7" t="s">
        <v>539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1.75" customHeight="1" x14ac:dyDescent="0.35">
      <c r="A2" s="6" t="s">
        <v>540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spans="1:12" ht="15" customHeight="1" x14ac:dyDescent="0.35">
      <c r="A5" s="1" t="s">
        <v>541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5" customHeight="1" x14ac:dyDescent="0.35">
      <c r="A6" s="13" t="s">
        <v>164</v>
      </c>
      <c r="B6" s="13" t="s">
        <v>165</v>
      </c>
      <c r="C6" s="13" t="s">
        <v>166</v>
      </c>
      <c r="D6" s="13" t="s">
        <v>167</v>
      </c>
      <c r="E6" s="13" t="s">
        <v>542</v>
      </c>
      <c r="F6" s="13" t="s">
        <v>543</v>
      </c>
      <c r="G6" s="13" t="s">
        <v>177</v>
      </c>
      <c r="H6" s="13" t="s">
        <v>544</v>
      </c>
      <c r="I6" s="13" t="s">
        <v>170</v>
      </c>
      <c r="J6" s="13" t="s">
        <v>117</v>
      </c>
    </row>
    <row r="7" spans="1:12" ht="23.25" customHeight="1" x14ac:dyDescent="0.35">
      <c r="A7" s="10" t="s">
        <v>172</v>
      </c>
      <c r="B7" s="10" t="s">
        <v>545</v>
      </c>
      <c r="C7" s="10" t="s">
        <v>174</v>
      </c>
      <c r="D7" s="10" t="s">
        <v>175</v>
      </c>
      <c r="E7" s="10" t="s">
        <v>176</v>
      </c>
      <c r="F7" s="10" t="s">
        <v>176</v>
      </c>
      <c r="G7" s="10" t="s">
        <v>176</v>
      </c>
      <c r="H7" s="10" t="s">
        <v>176</v>
      </c>
      <c r="I7" s="15">
        <f t="shared" ref="I7:I12" si="0">IFERROR(G7/MAX(1,F7),0)</f>
        <v>30</v>
      </c>
      <c r="J7" s="10" t="s">
        <v>177</v>
      </c>
    </row>
    <row r="8" spans="1:12" ht="23.25" customHeight="1" x14ac:dyDescent="0.35">
      <c r="A8" s="11" t="s">
        <v>179</v>
      </c>
      <c r="B8" s="11" t="s">
        <v>546</v>
      </c>
      <c r="C8" s="11" t="s">
        <v>181</v>
      </c>
      <c r="D8" s="11" t="s">
        <v>182</v>
      </c>
      <c r="E8" s="11" t="s">
        <v>137</v>
      </c>
      <c r="F8" s="11" t="s">
        <v>137</v>
      </c>
      <c r="G8" s="11" t="s">
        <v>527</v>
      </c>
      <c r="H8" s="11" t="s">
        <v>527</v>
      </c>
      <c r="I8" s="14">
        <f t="shared" si="0"/>
        <v>22</v>
      </c>
      <c r="J8" s="11" t="s">
        <v>184</v>
      </c>
    </row>
    <row r="9" spans="1:12" ht="23.25" customHeight="1" x14ac:dyDescent="0.35">
      <c r="A9" s="10" t="s">
        <v>186</v>
      </c>
      <c r="B9" s="10" t="s">
        <v>547</v>
      </c>
      <c r="C9" s="10" t="s">
        <v>188</v>
      </c>
      <c r="D9" s="10" t="s">
        <v>189</v>
      </c>
      <c r="E9" s="10" t="s">
        <v>190</v>
      </c>
      <c r="F9" s="10" t="s">
        <v>190</v>
      </c>
      <c r="G9" s="10" t="s">
        <v>141</v>
      </c>
      <c r="H9" s="10" t="s">
        <v>141</v>
      </c>
      <c r="I9" s="15">
        <f t="shared" si="0"/>
        <v>0</v>
      </c>
      <c r="J9" s="10" t="s">
        <v>191</v>
      </c>
    </row>
    <row r="10" spans="1:12" ht="23.25" customHeight="1" x14ac:dyDescent="0.35">
      <c r="A10" s="11" t="s">
        <v>192</v>
      </c>
      <c r="B10" s="11" t="s">
        <v>548</v>
      </c>
      <c r="C10" s="11" t="s">
        <v>194</v>
      </c>
      <c r="D10" s="11" t="s">
        <v>195</v>
      </c>
      <c r="E10" s="11" t="s">
        <v>196</v>
      </c>
      <c r="F10" s="11" t="s">
        <v>196</v>
      </c>
      <c r="G10" s="11" t="s">
        <v>141</v>
      </c>
      <c r="H10" s="11" t="s">
        <v>141</v>
      </c>
      <c r="I10" s="14">
        <f t="shared" si="0"/>
        <v>0</v>
      </c>
      <c r="J10" s="11" t="s">
        <v>191</v>
      </c>
    </row>
    <row r="11" spans="1:12" ht="23.25" customHeight="1" x14ac:dyDescent="0.35">
      <c r="A11" s="10" t="s">
        <v>197</v>
      </c>
      <c r="B11" s="10" t="s">
        <v>549</v>
      </c>
      <c r="C11" s="10" t="s">
        <v>199</v>
      </c>
      <c r="D11" s="10" t="s">
        <v>200</v>
      </c>
      <c r="E11" s="10" t="s">
        <v>137</v>
      </c>
      <c r="F11" s="10" t="s">
        <v>137</v>
      </c>
      <c r="G11" s="10" t="s">
        <v>141</v>
      </c>
      <c r="H11" s="10" t="s">
        <v>141</v>
      </c>
      <c r="I11" s="15">
        <f t="shared" si="0"/>
        <v>0</v>
      </c>
      <c r="J11" s="10" t="s">
        <v>191</v>
      </c>
    </row>
    <row r="12" spans="1:12" ht="23.25" customHeight="1" x14ac:dyDescent="0.35">
      <c r="A12" s="11" t="s">
        <v>201</v>
      </c>
      <c r="B12" s="11" t="s">
        <v>550</v>
      </c>
      <c r="C12" s="11" t="s">
        <v>203</v>
      </c>
      <c r="D12" s="11" t="s">
        <v>204</v>
      </c>
      <c r="E12" s="11" t="s">
        <v>205</v>
      </c>
      <c r="F12" s="11" t="s">
        <v>205</v>
      </c>
      <c r="G12" s="11" t="s">
        <v>141</v>
      </c>
      <c r="H12" s="11" t="s">
        <v>141</v>
      </c>
      <c r="I12" s="14">
        <f t="shared" si="0"/>
        <v>0</v>
      </c>
      <c r="J12" s="11" t="s">
        <v>191</v>
      </c>
    </row>
    <row r="15" spans="1:12" ht="15" customHeight="1" x14ac:dyDescent="0.35">
      <c r="A15" s="1" t="s">
        <v>551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5" customHeight="1" x14ac:dyDescent="0.35">
      <c r="A16" s="13" t="s">
        <v>552</v>
      </c>
      <c r="B16" s="13" t="s">
        <v>553</v>
      </c>
      <c r="C16" s="13" t="s">
        <v>554</v>
      </c>
      <c r="D16" s="13" t="s">
        <v>238</v>
      </c>
      <c r="E16" s="13" t="s">
        <v>5</v>
      </c>
      <c r="F16" s="13" t="s">
        <v>117</v>
      </c>
      <c r="G16" s="13" t="s">
        <v>555</v>
      </c>
      <c r="H16" s="13" t="s">
        <v>556</v>
      </c>
      <c r="I16" s="13" t="s">
        <v>557</v>
      </c>
      <c r="J16" s="13" t="s">
        <v>558</v>
      </c>
      <c r="K16" s="13" t="s">
        <v>559</v>
      </c>
      <c r="L16" s="13" t="s">
        <v>118</v>
      </c>
    </row>
    <row r="17" spans="1:12" ht="15" customHeight="1" x14ac:dyDescent="0.35">
      <c r="A17" s="10" t="s">
        <v>560</v>
      </c>
      <c r="B17" s="10" t="s">
        <v>561</v>
      </c>
      <c r="C17" s="10" t="s">
        <v>152</v>
      </c>
      <c r="D17" s="10" t="s">
        <v>215</v>
      </c>
      <c r="E17" s="10" t="s">
        <v>284</v>
      </c>
      <c r="F17" s="10" t="s">
        <v>177</v>
      </c>
      <c r="G17" s="10" t="s">
        <v>152</v>
      </c>
      <c r="H17" s="10" t="s">
        <v>152</v>
      </c>
      <c r="I17" s="10" t="s">
        <v>152</v>
      </c>
      <c r="J17" s="10" t="s">
        <v>152</v>
      </c>
      <c r="K17" s="10" t="s">
        <v>141</v>
      </c>
      <c r="L17" s="10" t="s">
        <v>562</v>
      </c>
    </row>
    <row r="18" spans="1:12" ht="15" customHeight="1" x14ac:dyDescent="0.35">
      <c r="A18" s="11" t="s">
        <v>563</v>
      </c>
      <c r="B18" s="11" t="s">
        <v>564</v>
      </c>
      <c r="C18" s="11" t="s">
        <v>142</v>
      </c>
      <c r="D18" s="11" t="s">
        <v>215</v>
      </c>
      <c r="E18" s="11" t="s">
        <v>284</v>
      </c>
      <c r="F18" s="11" t="s">
        <v>177</v>
      </c>
      <c r="G18" s="11" t="s">
        <v>142</v>
      </c>
      <c r="H18" s="11" t="s">
        <v>142</v>
      </c>
      <c r="I18" s="11" t="s">
        <v>141</v>
      </c>
      <c r="J18" s="11" t="s">
        <v>141</v>
      </c>
      <c r="K18" s="11" t="s">
        <v>141</v>
      </c>
      <c r="L18" s="11" t="s">
        <v>565</v>
      </c>
    </row>
    <row r="19" spans="1:12" ht="15" customHeight="1" x14ac:dyDescent="0.35">
      <c r="A19" s="10" t="s">
        <v>566</v>
      </c>
      <c r="B19" s="10" t="s">
        <v>567</v>
      </c>
      <c r="C19" s="10" t="s">
        <v>152</v>
      </c>
      <c r="D19" s="10" t="s">
        <v>215</v>
      </c>
      <c r="E19" s="10" t="s">
        <v>294</v>
      </c>
      <c r="F19" s="10" t="s">
        <v>184</v>
      </c>
      <c r="G19" s="10" t="s">
        <v>152</v>
      </c>
      <c r="H19" s="10" t="s">
        <v>152</v>
      </c>
      <c r="I19" s="10" t="s">
        <v>152</v>
      </c>
      <c r="J19" s="10" t="s">
        <v>152</v>
      </c>
      <c r="K19" s="10" t="s">
        <v>142</v>
      </c>
      <c r="L19" s="10" t="s">
        <v>568</v>
      </c>
    </row>
    <row r="20" spans="1:12" ht="23.25" customHeight="1" x14ac:dyDescent="0.35">
      <c r="A20" s="11" t="s">
        <v>569</v>
      </c>
      <c r="B20" s="11" t="s">
        <v>570</v>
      </c>
      <c r="C20" s="11" t="s">
        <v>155</v>
      </c>
      <c r="D20" s="11" t="s">
        <v>215</v>
      </c>
      <c r="E20" s="11" t="s">
        <v>294</v>
      </c>
      <c r="F20" s="11" t="s">
        <v>184</v>
      </c>
      <c r="G20" s="11" t="s">
        <v>155</v>
      </c>
      <c r="H20" s="11" t="s">
        <v>155</v>
      </c>
      <c r="I20" s="11" t="s">
        <v>155</v>
      </c>
      <c r="J20" s="11" t="s">
        <v>410</v>
      </c>
      <c r="K20" s="11" t="s">
        <v>258</v>
      </c>
      <c r="L20" s="11" t="s">
        <v>571</v>
      </c>
    </row>
    <row r="21" spans="1:12" ht="15" customHeight="1" x14ac:dyDescent="0.35">
      <c r="A21" s="10" t="s">
        <v>572</v>
      </c>
      <c r="B21" s="10" t="s">
        <v>573</v>
      </c>
      <c r="C21" s="10" t="s">
        <v>142</v>
      </c>
      <c r="D21" s="10" t="s">
        <v>219</v>
      </c>
      <c r="E21" s="10" t="s">
        <v>294</v>
      </c>
      <c r="F21" s="10" t="s">
        <v>191</v>
      </c>
      <c r="G21" s="10"/>
      <c r="H21" s="10"/>
      <c r="I21" s="10"/>
      <c r="J21" s="10"/>
      <c r="K21" s="10" t="s">
        <v>142</v>
      </c>
      <c r="L21" s="10"/>
    </row>
    <row r="22" spans="1:12" ht="15" customHeight="1" x14ac:dyDescent="0.35">
      <c r="A22" s="11" t="s">
        <v>574</v>
      </c>
      <c r="B22" s="11" t="s">
        <v>575</v>
      </c>
      <c r="C22" s="11" t="s">
        <v>152</v>
      </c>
      <c r="D22" s="11" t="s">
        <v>219</v>
      </c>
      <c r="E22" s="11" t="s">
        <v>294</v>
      </c>
      <c r="F22" s="11" t="s">
        <v>191</v>
      </c>
      <c r="G22" s="11"/>
      <c r="H22" s="11"/>
      <c r="I22" s="11"/>
      <c r="J22" s="11"/>
      <c r="K22" s="11" t="s">
        <v>152</v>
      </c>
      <c r="L22" s="11" t="s">
        <v>576</v>
      </c>
    </row>
    <row r="23" spans="1:12" ht="15" customHeight="1" x14ac:dyDescent="0.35">
      <c r="A23" s="10" t="s">
        <v>577</v>
      </c>
      <c r="B23" s="10" t="s">
        <v>578</v>
      </c>
      <c r="C23" s="10" t="s">
        <v>155</v>
      </c>
      <c r="D23" s="10" t="s">
        <v>215</v>
      </c>
      <c r="E23" s="10" t="s">
        <v>36</v>
      </c>
      <c r="F23" s="10" t="s">
        <v>184</v>
      </c>
      <c r="G23" s="10" t="s">
        <v>155</v>
      </c>
      <c r="H23" s="10" t="s">
        <v>155</v>
      </c>
      <c r="I23" s="10" t="s">
        <v>155</v>
      </c>
      <c r="J23" s="10" t="s">
        <v>155</v>
      </c>
      <c r="K23" s="10" t="s">
        <v>152</v>
      </c>
      <c r="L23" s="10" t="s">
        <v>579</v>
      </c>
    </row>
    <row r="24" spans="1:12" ht="15" customHeight="1" x14ac:dyDescent="0.35">
      <c r="A24" s="11" t="s">
        <v>580</v>
      </c>
      <c r="B24" s="11" t="s">
        <v>581</v>
      </c>
      <c r="C24" s="11" t="s">
        <v>152</v>
      </c>
      <c r="D24" s="11" t="s">
        <v>215</v>
      </c>
      <c r="E24" s="11" t="s">
        <v>284</v>
      </c>
      <c r="F24" s="11" t="s">
        <v>177</v>
      </c>
      <c r="G24" s="11" t="s">
        <v>152</v>
      </c>
      <c r="H24" s="11" t="s">
        <v>152</v>
      </c>
      <c r="I24" s="11" t="s">
        <v>141</v>
      </c>
      <c r="J24" s="11" t="s">
        <v>141</v>
      </c>
      <c r="K24" s="11" t="s">
        <v>141</v>
      </c>
      <c r="L24" s="11" t="s">
        <v>565</v>
      </c>
    </row>
    <row r="25" spans="1:12" ht="15" customHeight="1" x14ac:dyDescent="0.35">
      <c r="A25" s="10" t="s">
        <v>582</v>
      </c>
      <c r="B25" s="10" t="s">
        <v>583</v>
      </c>
      <c r="C25" s="10" t="s">
        <v>142</v>
      </c>
      <c r="D25" s="10" t="s">
        <v>219</v>
      </c>
      <c r="E25" s="10" t="s">
        <v>284</v>
      </c>
      <c r="F25" s="10" t="s">
        <v>191</v>
      </c>
      <c r="G25" s="10"/>
      <c r="H25" s="10"/>
      <c r="I25" s="10"/>
      <c r="J25" s="10"/>
      <c r="K25" s="10" t="s">
        <v>142</v>
      </c>
      <c r="L25" s="10" t="s">
        <v>584</v>
      </c>
    </row>
    <row r="26" spans="1:12" ht="15" customHeight="1" x14ac:dyDescent="0.35">
      <c r="A26" s="11" t="s">
        <v>585</v>
      </c>
      <c r="B26" s="11" t="s">
        <v>586</v>
      </c>
      <c r="C26" s="11" t="s">
        <v>587</v>
      </c>
      <c r="D26" s="11" t="s">
        <v>227</v>
      </c>
      <c r="E26" s="11" t="s">
        <v>528</v>
      </c>
      <c r="F26" s="11" t="s">
        <v>191</v>
      </c>
      <c r="G26" s="11"/>
      <c r="H26" s="11"/>
      <c r="I26" s="11"/>
      <c r="J26" s="11"/>
      <c r="K26" s="11" t="s">
        <v>587</v>
      </c>
      <c r="L26" s="11"/>
    </row>
    <row r="28" spans="1:12" ht="15" customHeight="1" x14ac:dyDescent="0.35">
      <c r="A28" s="1" t="s">
        <v>588</v>
      </c>
      <c r="B28" s="1"/>
      <c r="C28" s="1"/>
      <c r="D28" s="1"/>
    </row>
    <row r="29" spans="1:12" ht="15" customHeight="1" x14ac:dyDescent="0.35">
      <c r="A29" s="12" t="s">
        <v>589</v>
      </c>
      <c r="B29" s="18">
        <f>IFERROR(AVERAGE(H7:H12),0)</f>
        <v>0</v>
      </c>
    </row>
    <row r="30" spans="1:12" ht="15" customHeight="1" x14ac:dyDescent="0.35">
      <c r="A30" s="12" t="s">
        <v>590</v>
      </c>
      <c r="B30" s="18">
        <f>SUM(F7:F12)</f>
        <v>0</v>
      </c>
    </row>
    <row r="31" spans="1:12" ht="15" customHeight="1" x14ac:dyDescent="0.35">
      <c r="A31" s="12" t="s">
        <v>591</v>
      </c>
      <c r="B31" s="18">
        <f>SUM(G7:G12)</f>
        <v>0</v>
      </c>
    </row>
    <row r="32" spans="1:12" ht="15" customHeight="1" x14ac:dyDescent="0.35">
      <c r="A32" s="12" t="s">
        <v>592</v>
      </c>
      <c r="B32" s="19">
        <f>IFERROR(SUM(G7:G12)/SUM(F7:F12),0)</f>
        <v>0</v>
      </c>
    </row>
    <row r="33" spans="1:2" ht="15" customHeight="1" x14ac:dyDescent="0.35">
      <c r="A33" s="12" t="s">
        <v>593</v>
      </c>
      <c r="B33" s="18">
        <f>COUNTIF(J7:J12,"Not Started")</f>
        <v>4</v>
      </c>
    </row>
    <row r="34" spans="1:2" ht="15" customHeight="1" x14ac:dyDescent="0.35">
      <c r="A34" s="12" t="s">
        <v>594</v>
      </c>
      <c r="B34" s="18" t="s">
        <v>204</v>
      </c>
    </row>
  </sheetData>
  <mergeCells count="6">
    <mergeCell ref="A28:D28"/>
    <mergeCell ref="A1:L1"/>
    <mergeCell ref="A2:L2"/>
    <mergeCell ref="A3:L3"/>
    <mergeCell ref="A5:L5"/>
    <mergeCell ref="A15:L15"/>
  </mergeCells>
  <dataValidations count="1">
    <dataValidation type="list" allowBlank="1" sqref="F17:F115" xr:uid="{00000000-0002-0000-0600-000000000000}">
      <formula1>"Not Started,In Progress,Done,Blocked"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855F7"/>
  </sheetPr>
  <dimension ref="A1:M27"/>
  <sheetViews>
    <sheetView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28" customWidth="1"/>
    <col min="3" max="4" width="16" customWidth="1"/>
    <col min="5" max="5" width="20" customWidth="1"/>
    <col min="6" max="7" width="12" customWidth="1"/>
    <col min="8" max="9" width="14" customWidth="1"/>
    <col min="10" max="10" width="18" customWidth="1"/>
    <col min="11" max="12" width="14" customWidth="1"/>
    <col min="13" max="13" width="22" customWidth="1"/>
  </cols>
  <sheetData>
    <row r="1" spans="1:13" ht="39.75" customHeight="1" x14ac:dyDescent="0.35">
      <c r="A1" s="7" t="s">
        <v>595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1.75" customHeight="1" x14ac:dyDescent="0.35">
      <c r="A2" s="6" t="s">
        <v>596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3" ht="15" customHeight="1" x14ac:dyDescent="0.35">
      <c r="A5" s="1" t="s">
        <v>597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 customHeight="1" x14ac:dyDescent="0.35">
      <c r="A6" s="13" t="s">
        <v>598</v>
      </c>
      <c r="B6" s="13" t="s">
        <v>599</v>
      </c>
      <c r="C6" s="13" t="s">
        <v>600</v>
      </c>
      <c r="D6" s="13" t="s">
        <v>601</v>
      </c>
      <c r="E6" s="13" t="s">
        <v>602</v>
      </c>
      <c r="F6" s="13" t="s">
        <v>603</v>
      </c>
      <c r="G6" s="13" t="s">
        <v>604</v>
      </c>
      <c r="H6" s="13" t="s">
        <v>605</v>
      </c>
      <c r="I6" s="13" t="s">
        <v>606</v>
      </c>
      <c r="J6" s="13" t="s">
        <v>607</v>
      </c>
      <c r="K6" s="13" t="s">
        <v>608</v>
      </c>
      <c r="L6" s="13" t="s">
        <v>609</v>
      </c>
      <c r="M6" s="13" t="s">
        <v>610</v>
      </c>
    </row>
    <row r="7" spans="1:13" ht="15" customHeight="1" x14ac:dyDescent="0.35">
      <c r="A7" s="10" t="s">
        <v>611</v>
      </c>
      <c r="B7" s="10" t="s">
        <v>612</v>
      </c>
      <c r="C7" s="10" t="s">
        <v>613</v>
      </c>
      <c r="D7" s="10" t="s">
        <v>614</v>
      </c>
      <c r="E7" s="10" t="s">
        <v>615</v>
      </c>
      <c r="F7" s="10" t="s">
        <v>616</v>
      </c>
      <c r="G7" s="10" t="s">
        <v>617</v>
      </c>
      <c r="H7" s="10" t="s">
        <v>618</v>
      </c>
      <c r="I7" s="10" t="s">
        <v>619</v>
      </c>
      <c r="J7" s="10" t="s">
        <v>227</v>
      </c>
      <c r="K7" s="10" t="s">
        <v>620</v>
      </c>
      <c r="L7" s="10" t="s">
        <v>621</v>
      </c>
      <c r="M7" s="10" t="s">
        <v>622</v>
      </c>
    </row>
    <row r="8" spans="1:13" ht="15" customHeight="1" x14ac:dyDescent="0.35">
      <c r="A8" s="11" t="s">
        <v>623</v>
      </c>
      <c r="B8" s="11" t="s">
        <v>624</v>
      </c>
      <c r="C8" s="11" t="s">
        <v>625</v>
      </c>
      <c r="D8" s="11" t="s">
        <v>535</v>
      </c>
      <c r="E8" s="11" t="s">
        <v>626</v>
      </c>
      <c r="F8" s="11" t="s">
        <v>627</v>
      </c>
      <c r="G8" s="11" t="s">
        <v>628</v>
      </c>
      <c r="H8" s="11" t="s">
        <v>629</v>
      </c>
      <c r="I8" s="11" t="s">
        <v>630</v>
      </c>
      <c r="J8" s="11" t="s">
        <v>219</v>
      </c>
      <c r="K8" s="11" t="s">
        <v>631</v>
      </c>
      <c r="L8" s="11" t="s">
        <v>632</v>
      </c>
      <c r="M8" s="11" t="s">
        <v>633</v>
      </c>
    </row>
    <row r="9" spans="1:13" ht="15" customHeight="1" x14ac:dyDescent="0.35">
      <c r="A9" s="10" t="s">
        <v>634</v>
      </c>
      <c r="B9" s="10" t="s">
        <v>635</v>
      </c>
      <c r="C9" s="10" t="s">
        <v>636</v>
      </c>
      <c r="D9" s="10" t="s">
        <v>637</v>
      </c>
      <c r="E9" s="10" t="s">
        <v>638</v>
      </c>
      <c r="F9" s="10" t="s">
        <v>639</v>
      </c>
      <c r="G9" s="10" t="s">
        <v>640</v>
      </c>
      <c r="H9" s="10" t="s">
        <v>641</v>
      </c>
      <c r="I9" s="10" t="s">
        <v>642</v>
      </c>
      <c r="J9" s="10" t="s">
        <v>227</v>
      </c>
      <c r="K9" s="10" t="s">
        <v>643</v>
      </c>
      <c r="L9" s="10" t="s">
        <v>431</v>
      </c>
      <c r="M9" s="10" t="s">
        <v>644</v>
      </c>
    </row>
    <row r="10" spans="1:13" ht="15" customHeight="1" x14ac:dyDescent="0.35">
      <c r="A10" s="11" t="s">
        <v>645</v>
      </c>
      <c r="B10" s="11" t="s">
        <v>646</v>
      </c>
      <c r="C10" s="11" t="s">
        <v>625</v>
      </c>
      <c r="D10" s="11" t="s">
        <v>529</v>
      </c>
      <c r="E10" s="11" t="s">
        <v>647</v>
      </c>
      <c r="F10" s="11" t="s">
        <v>648</v>
      </c>
      <c r="G10" s="11" t="s">
        <v>649</v>
      </c>
      <c r="H10" s="11" t="s">
        <v>650</v>
      </c>
      <c r="I10" s="11" t="s">
        <v>651</v>
      </c>
      <c r="J10" s="11" t="s">
        <v>215</v>
      </c>
      <c r="K10" s="11" t="s">
        <v>643</v>
      </c>
      <c r="L10" s="11" t="s">
        <v>431</v>
      </c>
      <c r="M10" s="11" t="s">
        <v>644</v>
      </c>
    </row>
    <row r="11" spans="1:13" ht="23.25" customHeight="1" x14ac:dyDescent="0.35">
      <c r="A11" s="10" t="s">
        <v>652</v>
      </c>
      <c r="B11" s="10" t="s">
        <v>653</v>
      </c>
      <c r="C11" s="10" t="s">
        <v>654</v>
      </c>
      <c r="D11" s="10" t="s">
        <v>510</v>
      </c>
      <c r="E11" s="10" t="s">
        <v>655</v>
      </c>
      <c r="F11" s="10" t="s">
        <v>656</v>
      </c>
      <c r="G11" s="10" t="s">
        <v>657</v>
      </c>
      <c r="H11" s="10" t="s">
        <v>658</v>
      </c>
      <c r="I11" s="10" t="s">
        <v>659</v>
      </c>
      <c r="J11" s="10" t="s">
        <v>219</v>
      </c>
      <c r="K11" s="10" t="s">
        <v>230</v>
      </c>
      <c r="L11" s="10" t="s">
        <v>431</v>
      </c>
      <c r="M11" s="10" t="s">
        <v>644</v>
      </c>
    </row>
    <row r="12" spans="1:13" ht="23.25" customHeight="1" x14ac:dyDescent="0.35">
      <c r="A12" s="11" t="s">
        <v>660</v>
      </c>
      <c r="B12" s="11" t="s">
        <v>661</v>
      </c>
      <c r="C12" s="11" t="s">
        <v>662</v>
      </c>
      <c r="D12" s="11" t="s">
        <v>518</v>
      </c>
      <c r="E12" s="11" t="s">
        <v>663</v>
      </c>
      <c r="F12" s="11" t="s">
        <v>664</v>
      </c>
      <c r="G12" s="11" t="s">
        <v>665</v>
      </c>
      <c r="H12" s="11" t="s">
        <v>666</v>
      </c>
      <c r="I12" s="11" t="s">
        <v>667</v>
      </c>
      <c r="J12" s="11" t="s">
        <v>219</v>
      </c>
      <c r="K12" s="11" t="s">
        <v>230</v>
      </c>
      <c r="L12" s="11" t="s">
        <v>431</v>
      </c>
      <c r="M12" s="11" t="s">
        <v>644</v>
      </c>
    </row>
    <row r="15" spans="1:13" ht="15" customHeight="1" x14ac:dyDescent="0.35">
      <c r="A15" s="1" t="s">
        <v>668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" customHeight="1" x14ac:dyDescent="0.35">
      <c r="A16" s="13" t="s">
        <v>669</v>
      </c>
      <c r="B16" s="13" t="s">
        <v>599</v>
      </c>
      <c r="C16" s="13" t="s">
        <v>670</v>
      </c>
      <c r="D16" s="13" t="s">
        <v>671</v>
      </c>
      <c r="E16" s="13" t="s">
        <v>672</v>
      </c>
      <c r="F16" s="13" t="s">
        <v>603</v>
      </c>
      <c r="G16" s="13" t="s">
        <v>673</v>
      </c>
      <c r="H16" s="13" t="s">
        <v>674</v>
      </c>
      <c r="I16" s="13" t="s">
        <v>675</v>
      </c>
      <c r="J16" s="13" t="s">
        <v>117</v>
      </c>
      <c r="K16" s="13" t="s">
        <v>676</v>
      </c>
      <c r="L16" s="13" t="s">
        <v>677</v>
      </c>
      <c r="M16" s="13" t="s">
        <v>118</v>
      </c>
    </row>
    <row r="17" spans="1:13" ht="15" customHeight="1" x14ac:dyDescent="0.35">
      <c r="A17" s="10" t="s">
        <v>678</v>
      </c>
      <c r="B17" s="10" t="s">
        <v>679</v>
      </c>
      <c r="C17" s="10" t="s">
        <v>614</v>
      </c>
      <c r="D17" s="10" t="s">
        <v>680</v>
      </c>
      <c r="E17" s="10" t="s">
        <v>681</v>
      </c>
      <c r="F17" s="10" t="s">
        <v>616</v>
      </c>
      <c r="G17" s="10" t="s">
        <v>682</v>
      </c>
      <c r="H17" s="10" t="s">
        <v>618</v>
      </c>
      <c r="I17" s="10" t="s">
        <v>683</v>
      </c>
      <c r="J17" s="10" t="s">
        <v>684</v>
      </c>
      <c r="K17" s="10" t="s">
        <v>36</v>
      </c>
      <c r="L17" s="10" t="s">
        <v>181</v>
      </c>
      <c r="M17" s="10" t="s">
        <v>685</v>
      </c>
    </row>
    <row r="18" spans="1:13" ht="15" customHeight="1" x14ac:dyDescent="0.35">
      <c r="A18" s="11" t="s">
        <v>686</v>
      </c>
      <c r="B18" s="11" t="s">
        <v>687</v>
      </c>
      <c r="C18" s="11" t="s">
        <v>535</v>
      </c>
      <c r="D18" s="11" t="s">
        <v>688</v>
      </c>
      <c r="E18" s="11" t="s">
        <v>689</v>
      </c>
      <c r="F18" s="11" t="s">
        <v>627</v>
      </c>
      <c r="G18" s="11" t="s">
        <v>690</v>
      </c>
      <c r="H18" s="11" t="s">
        <v>629</v>
      </c>
      <c r="I18" s="11" t="s">
        <v>683</v>
      </c>
      <c r="J18" s="11" t="s">
        <v>684</v>
      </c>
      <c r="K18" s="11" t="s">
        <v>36</v>
      </c>
      <c r="L18" s="11" t="s">
        <v>691</v>
      </c>
      <c r="M18" s="11" t="s">
        <v>692</v>
      </c>
    </row>
    <row r="19" spans="1:13" ht="15" customHeight="1" x14ac:dyDescent="0.35">
      <c r="A19" s="10" t="s">
        <v>693</v>
      </c>
      <c r="B19" s="10" t="s">
        <v>694</v>
      </c>
      <c r="C19" s="10" t="s">
        <v>529</v>
      </c>
      <c r="D19" s="10" t="s">
        <v>688</v>
      </c>
      <c r="E19" s="10" t="s">
        <v>695</v>
      </c>
      <c r="F19" s="10" t="s">
        <v>639</v>
      </c>
      <c r="G19" s="10" t="s">
        <v>696</v>
      </c>
      <c r="H19" s="10" t="s">
        <v>697</v>
      </c>
      <c r="I19" s="10" t="s">
        <v>698</v>
      </c>
      <c r="J19" s="10" t="s">
        <v>699</v>
      </c>
      <c r="K19" s="10" t="s">
        <v>36</v>
      </c>
      <c r="L19" s="10" t="s">
        <v>286</v>
      </c>
      <c r="M19" s="10" t="s">
        <v>700</v>
      </c>
    </row>
    <row r="20" spans="1:13" ht="15" customHeight="1" x14ac:dyDescent="0.35">
      <c r="A20" s="11" t="s">
        <v>701</v>
      </c>
      <c r="B20" s="11" t="s">
        <v>702</v>
      </c>
      <c r="C20" s="11" t="s">
        <v>518</v>
      </c>
      <c r="D20" s="11" t="s">
        <v>680</v>
      </c>
      <c r="E20" s="11" t="s">
        <v>703</v>
      </c>
      <c r="F20" s="11" t="s">
        <v>704</v>
      </c>
      <c r="G20" s="11" t="s">
        <v>640</v>
      </c>
      <c r="H20" s="11" t="s">
        <v>641</v>
      </c>
      <c r="I20" s="11" t="s">
        <v>683</v>
      </c>
      <c r="J20" s="11" t="s">
        <v>684</v>
      </c>
      <c r="K20" s="11" t="s">
        <v>36</v>
      </c>
      <c r="L20" s="11" t="s">
        <v>339</v>
      </c>
      <c r="M20" s="11" t="s">
        <v>705</v>
      </c>
    </row>
    <row r="21" spans="1:13" ht="15" customHeight="1" x14ac:dyDescent="0.35">
      <c r="A21" s="10" t="s">
        <v>706</v>
      </c>
      <c r="B21" s="10" t="s">
        <v>707</v>
      </c>
      <c r="C21" s="10" t="s">
        <v>510</v>
      </c>
      <c r="D21" s="10" t="s">
        <v>688</v>
      </c>
      <c r="E21" s="10" t="s">
        <v>708</v>
      </c>
      <c r="F21" s="10" t="s">
        <v>709</v>
      </c>
      <c r="G21" s="10" t="s">
        <v>649</v>
      </c>
      <c r="H21" s="10" t="s">
        <v>710</v>
      </c>
      <c r="I21" s="10" t="s">
        <v>711</v>
      </c>
      <c r="J21" s="10" t="s">
        <v>712</v>
      </c>
      <c r="K21" s="10" t="s">
        <v>36</v>
      </c>
      <c r="L21" s="10" t="s">
        <v>713</v>
      </c>
      <c r="M21" s="10" t="s">
        <v>714</v>
      </c>
    </row>
    <row r="23" spans="1:13" ht="15" customHeight="1" x14ac:dyDescent="0.35">
      <c r="A23" s="1" t="s">
        <v>715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3.25" customHeight="1" x14ac:dyDescent="0.35">
      <c r="A24" s="13" t="s">
        <v>716</v>
      </c>
      <c r="B24" s="13" t="s">
        <v>717</v>
      </c>
      <c r="C24" s="13" t="s">
        <v>718</v>
      </c>
      <c r="D24" s="13" t="s">
        <v>719</v>
      </c>
      <c r="E24" s="13" t="s">
        <v>720</v>
      </c>
      <c r="F24" s="13" t="s">
        <v>721</v>
      </c>
      <c r="G24" s="13" t="s">
        <v>722</v>
      </c>
      <c r="H24" s="13" t="s">
        <v>723</v>
      </c>
      <c r="I24" s="13" t="s">
        <v>724</v>
      </c>
      <c r="J24" s="13" t="s">
        <v>117</v>
      </c>
      <c r="K24" s="13" t="s">
        <v>5</v>
      </c>
      <c r="L24" s="13" t="s">
        <v>725</v>
      </c>
      <c r="M24" s="13" t="s">
        <v>118</v>
      </c>
    </row>
    <row r="25" spans="1:13" ht="23.25" customHeight="1" x14ac:dyDescent="0.35">
      <c r="A25" s="10" t="s">
        <v>726</v>
      </c>
      <c r="B25" s="10" t="s">
        <v>727</v>
      </c>
      <c r="C25" s="10" t="s">
        <v>728</v>
      </c>
      <c r="D25" s="10" t="s">
        <v>729</v>
      </c>
      <c r="E25" s="10" t="s">
        <v>730</v>
      </c>
      <c r="F25" s="10" t="s">
        <v>152</v>
      </c>
      <c r="G25" s="10" t="s">
        <v>731</v>
      </c>
      <c r="H25" s="10" t="s">
        <v>397</v>
      </c>
      <c r="I25" s="10" t="s">
        <v>732</v>
      </c>
      <c r="J25" s="10" t="s">
        <v>684</v>
      </c>
      <c r="K25" s="10" t="s">
        <v>36</v>
      </c>
      <c r="L25" s="10" t="s">
        <v>120</v>
      </c>
      <c r="M25" s="10" t="s">
        <v>733</v>
      </c>
    </row>
    <row r="26" spans="1:13" ht="23.25" customHeight="1" x14ac:dyDescent="0.35">
      <c r="A26" s="11" t="s">
        <v>734</v>
      </c>
      <c r="B26" s="11" t="s">
        <v>735</v>
      </c>
      <c r="C26" s="11" t="s">
        <v>736</v>
      </c>
      <c r="D26" s="11" t="s">
        <v>729</v>
      </c>
      <c r="E26" s="11" t="s">
        <v>737</v>
      </c>
      <c r="F26" s="11" t="s">
        <v>155</v>
      </c>
      <c r="G26" s="11" t="s">
        <v>738</v>
      </c>
      <c r="H26" s="11" t="s">
        <v>739</v>
      </c>
      <c r="I26" s="11" t="s">
        <v>732</v>
      </c>
      <c r="J26" s="11" t="s">
        <v>631</v>
      </c>
      <c r="K26" s="11" t="s">
        <v>36</v>
      </c>
      <c r="L26" s="11" t="s">
        <v>665</v>
      </c>
      <c r="M26" s="11" t="s">
        <v>740</v>
      </c>
    </row>
    <row r="27" spans="1:13" ht="15" customHeight="1" x14ac:dyDescent="0.35">
      <c r="A27" s="10" t="s">
        <v>741</v>
      </c>
      <c r="B27" s="10" t="s">
        <v>742</v>
      </c>
      <c r="C27" s="10" t="s">
        <v>743</v>
      </c>
      <c r="D27" s="10" t="s">
        <v>744</v>
      </c>
      <c r="E27" s="10" t="s">
        <v>730</v>
      </c>
      <c r="F27" s="10" t="s">
        <v>142</v>
      </c>
      <c r="G27" s="10" t="s">
        <v>745</v>
      </c>
      <c r="H27" s="10" t="s">
        <v>397</v>
      </c>
      <c r="I27" s="10" t="s">
        <v>746</v>
      </c>
      <c r="J27" s="10" t="s">
        <v>684</v>
      </c>
      <c r="K27" s="10" t="s">
        <v>36</v>
      </c>
      <c r="L27" s="10" t="s">
        <v>696</v>
      </c>
      <c r="M27" s="10" t="s">
        <v>747</v>
      </c>
    </row>
  </sheetData>
  <mergeCells count="6">
    <mergeCell ref="A23:M23"/>
    <mergeCell ref="A1:M1"/>
    <mergeCell ref="A2:M2"/>
    <mergeCell ref="A3:M3"/>
    <mergeCell ref="A5:M5"/>
    <mergeCell ref="A15:M1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2C55E"/>
  </sheetPr>
  <dimension ref="A1:L17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35" customWidth="1"/>
    <col min="3" max="4" width="14" customWidth="1"/>
    <col min="5" max="5" width="10" customWidth="1"/>
    <col min="6" max="6" width="14" customWidth="1"/>
    <col min="7" max="7" width="10" customWidth="1"/>
    <col min="8" max="8" width="12" customWidth="1"/>
    <col min="9" max="9" width="24" customWidth="1"/>
    <col min="10" max="10" width="14" customWidth="1"/>
    <col min="11" max="11" width="12" customWidth="1"/>
    <col min="12" max="12" width="30" customWidth="1"/>
  </cols>
  <sheetData>
    <row r="1" spans="1:12" ht="39.75" customHeight="1" x14ac:dyDescent="0.35">
      <c r="A1" s="7" t="s">
        <v>748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1.75" customHeight="1" x14ac:dyDescent="0.35">
      <c r="A2" s="6" t="s">
        <v>749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spans="1:12" ht="23.25" customHeight="1" x14ac:dyDescent="0.35">
      <c r="A5" s="13" t="s">
        <v>235</v>
      </c>
      <c r="B5" s="13" t="s">
        <v>236</v>
      </c>
      <c r="C5" s="13" t="s">
        <v>750</v>
      </c>
      <c r="D5" s="13" t="s">
        <v>751</v>
      </c>
      <c r="E5" s="13" t="s">
        <v>164</v>
      </c>
      <c r="F5" s="13" t="s">
        <v>5</v>
      </c>
      <c r="G5" s="13" t="s">
        <v>238</v>
      </c>
      <c r="H5" s="13" t="s">
        <v>117</v>
      </c>
      <c r="I5" s="13" t="s">
        <v>752</v>
      </c>
      <c r="J5" s="13" t="s">
        <v>753</v>
      </c>
      <c r="K5" s="13" t="s">
        <v>499</v>
      </c>
      <c r="L5" s="13" t="s">
        <v>118</v>
      </c>
    </row>
    <row r="6" spans="1:12" ht="15" customHeight="1" x14ac:dyDescent="0.35">
      <c r="A6" s="11" t="s">
        <v>754</v>
      </c>
      <c r="B6" s="11" t="s">
        <v>755</v>
      </c>
      <c r="C6" s="11" t="s">
        <v>255</v>
      </c>
      <c r="D6" s="11" t="s">
        <v>82</v>
      </c>
      <c r="E6" s="11" t="s">
        <v>172</v>
      </c>
      <c r="F6" s="11" t="s">
        <v>265</v>
      </c>
      <c r="G6" s="11" t="s">
        <v>215</v>
      </c>
      <c r="H6" s="11" t="s">
        <v>177</v>
      </c>
      <c r="I6" s="11" t="s">
        <v>756</v>
      </c>
      <c r="J6" s="11" t="s">
        <v>227</v>
      </c>
      <c r="K6" s="11" t="s">
        <v>219</v>
      </c>
      <c r="L6" s="11" t="s">
        <v>757</v>
      </c>
    </row>
    <row r="7" spans="1:12" ht="15" customHeight="1" x14ac:dyDescent="0.35">
      <c r="A7" s="10" t="s">
        <v>758</v>
      </c>
      <c r="B7" s="10" t="s">
        <v>759</v>
      </c>
      <c r="C7" s="10" t="s">
        <v>283</v>
      </c>
      <c r="D7" s="10" t="s">
        <v>760</v>
      </c>
      <c r="E7" s="10" t="s">
        <v>172</v>
      </c>
      <c r="F7" s="10" t="s">
        <v>47</v>
      </c>
      <c r="G7" s="10" t="s">
        <v>215</v>
      </c>
      <c r="H7" s="10" t="s">
        <v>177</v>
      </c>
      <c r="I7" s="10" t="s">
        <v>761</v>
      </c>
      <c r="J7" s="10" t="s">
        <v>227</v>
      </c>
      <c r="K7" s="10" t="s">
        <v>227</v>
      </c>
      <c r="L7" s="10" t="s">
        <v>762</v>
      </c>
    </row>
    <row r="8" spans="1:12" ht="15" customHeight="1" x14ac:dyDescent="0.35">
      <c r="A8" s="11" t="s">
        <v>763</v>
      </c>
      <c r="B8" s="11" t="s">
        <v>764</v>
      </c>
      <c r="C8" s="11" t="s">
        <v>292</v>
      </c>
      <c r="D8" s="11" t="s">
        <v>765</v>
      </c>
      <c r="E8" s="11" t="s">
        <v>172</v>
      </c>
      <c r="F8" s="11" t="s">
        <v>41</v>
      </c>
      <c r="G8" s="11" t="s">
        <v>215</v>
      </c>
      <c r="H8" s="11" t="s">
        <v>177</v>
      </c>
      <c r="I8" s="11" t="s">
        <v>766</v>
      </c>
      <c r="J8" s="11" t="s">
        <v>227</v>
      </c>
      <c r="K8" s="11" t="s">
        <v>227</v>
      </c>
      <c r="L8" s="11" t="s">
        <v>767</v>
      </c>
    </row>
    <row r="9" spans="1:12" ht="15" customHeight="1" x14ac:dyDescent="0.35">
      <c r="A9" s="10" t="s">
        <v>768</v>
      </c>
      <c r="B9" s="10" t="s">
        <v>769</v>
      </c>
      <c r="C9" s="10" t="s">
        <v>345</v>
      </c>
      <c r="D9" s="10" t="s">
        <v>770</v>
      </c>
      <c r="E9" s="10" t="s">
        <v>172</v>
      </c>
      <c r="F9" s="10" t="s">
        <v>346</v>
      </c>
      <c r="G9" s="10" t="s">
        <v>215</v>
      </c>
      <c r="H9" s="10" t="s">
        <v>177</v>
      </c>
      <c r="I9" s="10" t="s">
        <v>771</v>
      </c>
      <c r="J9" s="10" t="s">
        <v>227</v>
      </c>
      <c r="K9" s="10" t="s">
        <v>227</v>
      </c>
      <c r="L9" s="10" t="s">
        <v>772</v>
      </c>
    </row>
    <row r="10" spans="1:12" ht="15" customHeight="1" x14ac:dyDescent="0.35">
      <c r="A10" s="11" t="s">
        <v>773</v>
      </c>
      <c r="B10" s="11" t="s">
        <v>774</v>
      </c>
      <c r="C10" s="11" t="s">
        <v>775</v>
      </c>
      <c r="D10" s="11" t="s">
        <v>283</v>
      </c>
      <c r="E10" s="11" t="s">
        <v>172</v>
      </c>
      <c r="F10" s="11" t="s">
        <v>47</v>
      </c>
      <c r="G10" s="11" t="s">
        <v>215</v>
      </c>
      <c r="H10" s="11" t="s">
        <v>177</v>
      </c>
      <c r="I10" s="11" t="s">
        <v>776</v>
      </c>
      <c r="J10" s="11" t="s">
        <v>227</v>
      </c>
      <c r="K10" s="11" t="s">
        <v>227</v>
      </c>
      <c r="L10" s="11" t="s">
        <v>777</v>
      </c>
    </row>
    <row r="11" spans="1:12" ht="15" customHeight="1" x14ac:dyDescent="0.35">
      <c r="A11" s="10" t="s">
        <v>778</v>
      </c>
      <c r="B11" s="10" t="s">
        <v>779</v>
      </c>
      <c r="C11" s="10" t="s">
        <v>283</v>
      </c>
      <c r="D11" s="10" t="s">
        <v>760</v>
      </c>
      <c r="E11" s="10" t="s">
        <v>179</v>
      </c>
      <c r="F11" s="10" t="s">
        <v>284</v>
      </c>
      <c r="G11" s="10" t="s">
        <v>215</v>
      </c>
      <c r="H11" s="10" t="s">
        <v>177</v>
      </c>
      <c r="I11" s="10" t="s">
        <v>780</v>
      </c>
      <c r="J11" s="10" t="s">
        <v>227</v>
      </c>
      <c r="K11" s="10" t="s">
        <v>227</v>
      </c>
      <c r="L11" s="10" t="s">
        <v>781</v>
      </c>
    </row>
    <row r="12" spans="1:12" ht="15" customHeight="1" x14ac:dyDescent="0.35">
      <c r="A12" s="11" t="s">
        <v>782</v>
      </c>
      <c r="B12" s="11" t="s">
        <v>783</v>
      </c>
      <c r="C12" s="11" t="s">
        <v>283</v>
      </c>
      <c r="D12" s="11" t="s">
        <v>760</v>
      </c>
      <c r="E12" s="11" t="s">
        <v>179</v>
      </c>
      <c r="F12" s="11" t="s">
        <v>284</v>
      </c>
      <c r="G12" s="11" t="s">
        <v>215</v>
      </c>
      <c r="H12" s="11" t="s">
        <v>177</v>
      </c>
      <c r="I12" s="11" t="s">
        <v>784</v>
      </c>
      <c r="J12" s="11" t="s">
        <v>227</v>
      </c>
      <c r="K12" s="11" t="s">
        <v>227</v>
      </c>
      <c r="L12" s="11" t="s">
        <v>785</v>
      </c>
    </row>
    <row r="13" spans="1:12" ht="15" customHeight="1" x14ac:dyDescent="0.35">
      <c r="A13" s="10" t="s">
        <v>786</v>
      </c>
      <c r="B13" s="10" t="s">
        <v>787</v>
      </c>
      <c r="C13" s="10" t="s">
        <v>788</v>
      </c>
      <c r="D13" s="10" t="s">
        <v>775</v>
      </c>
      <c r="E13" s="10" t="s">
        <v>186</v>
      </c>
      <c r="F13" s="10" t="s">
        <v>284</v>
      </c>
      <c r="G13" s="10" t="s">
        <v>219</v>
      </c>
      <c r="H13" s="10" t="s">
        <v>230</v>
      </c>
      <c r="I13" s="10"/>
      <c r="J13" s="10" t="s">
        <v>219</v>
      </c>
      <c r="K13" s="10" t="s">
        <v>219</v>
      </c>
      <c r="L13" s="10" t="s">
        <v>789</v>
      </c>
    </row>
    <row r="14" spans="1:12" ht="15" customHeight="1" x14ac:dyDescent="0.35">
      <c r="A14" s="11" t="s">
        <v>790</v>
      </c>
      <c r="B14" s="11" t="s">
        <v>791</v>
      </c>
      <c r="C14" s="11" t="s">
        <v>226</v>
      </c>
      <c r="D14" s="11" t="s">
        <v>760</v>
      </c>
      <c r="E14" s="11" t="s">
        <v>186</v>
      </c>
      <c r="F14" s="11" t="s">
        <v>284</v>
      </c>
      <c r="G14" s="11" t="s">
        <v>215</v>
      </c>
      <c r="H14" s="11" t="s">
        <v>230</v>
      </c>
      <c r="I14" s="11"/>
      <c r="J14" s="11" t="s">
        <v>227</v>
      </c>
      <c r="K14" s="11" t="s">
        <v>227</v>
      </c>
      <c r="L14" s="11" t="s">
        <v>792</v>
      </c>
    </row>
    <row r="15" spans="1:12" ht="15" customHeight="1" x14ac:dyDescent="0.35">
      <c r="A15" s="10" t="s">
        <v>793</v>
      </c>
      <c r="B15" s="10" t="s">
        <v>794</v>
      </c>
      <c r="C15" s="10" t="s">
        <v>795</v>
      </c>
      <c r="D15" s="10" t="s">
        <v>82</v>
      </c>
      <c r="E15" s="10" t="s">
        <v>192</v>
      </c>
      <c r="F15" s="10" t="s">
        <v>796</v>
      </c>
      <c r="G15" s="10" t="s">
        <v>219</v>
      </c>
      <c r="H15" s="10" t="s">
        <v>230</v>
      </c>
      <c r="I15" s="10"/>
      <c r="J15" s="10" t="s">
        <v>219</v>
      </c>
      <c r="K15" s="10" t="s">
        <v>227</v>
      </c>
      <c r="L15" s="10" t="s">
        <v>797</v>
      </c>
    </row>
    <row r="16" spans="1:12" ht="15" customHeight="1" x14ac:dyDescent="0.35">
      <c r="A16" s="11" t="s">
        <v>798</v>
      </c>
      <c r="B16" s="11" t="s">
        <v>799</v>
      </c>
      <c r="C16" s="11" t="s">
        <v>338</v>
      </c>
      <c r="D16" s="11" t="s">
        <v>800</v>
      </c>
      <c r="E16" s="11" t="s">
        <v>179</v>
      </c>
      <c r="F16" s="11" t="s">
        <v>50</v>
      </c>
      <c r="G16" s="11" t="s">
        <v>215</v>
      </c>
      <c r="H16" s="11" t="s">
        <v>184</v>
      </c>
      <c r="I16" s="11"/>
      <c r="J16" s="11" t="s">
        <v>227</v>
      </c>
      <c r="K16" s="11" t="s">
        <v>219</v>
      </c>
      <c r="L16" s="11" t="s">
        <v>801</v>
      </c>
    </row>
    <row r="17" spans="1:12" ht="15" customHeight="1" x14ac:dyDescent="0.35">
      <c r="A17" s="10" t="s">
        <v>802</v>
      </c>
      <c r="B17" s="10" t="s">
        <v>803</v>
      </c>
      <c r="C17" s="10" t="s">
        <v>804</v>
      </c>
      <c r="D17" s="10" t="s">
        <v>82</v>
      </c>
      <c r="E17" s="10" t="s">
        <v>192</v>
      </c>
      <c r="F17" s="10" t="s">
        <v>50</v>
      </c>
      <c r="G17" s="10" t="s">
        <v>219</v>
      </c>
      <c r="H17" s="10" t="s">
        <v>230</v>
      </c>
      <c r="I17" s="10"/>
      <c r="J17" s="10" t="s">
        <v>227</v>
      </c>
      <c r="K17" s="10" t="s">
        <v>219</v>
      </c>
      <c r="L17" s="10" t="s">
        <v>805</v>
      </c>
    </row>
  </sheetData>
  <mergeCells count="3">
    <mergeCell ref="A1:L1"/>
    <mergeCell ref="A2:L2"/>
    <mergeCell ref="A3:L3"/>
  </mergeCells>
  <dataValidations count="3">
    <dataValidation type="list" allowBlank="1" sqref="H6:H80" xr:uid="{00000000-0002-0000-0800-000000000000}">
      <formula1>"Not Started,In Progress,Review,Done,Blocked,Planned"</formula1>
      <formula2>0</formula2>
    </dataValidation>
    <dataValidation type="list" allowBlank="1" sqref="G6:G80" xr:uid="{00000000-0002-0000-0800-000001000000}">
      <formula1>"Critical,High,Medium,Low"</formula1>
      <formula2>0</formula2>
    </dataValidation>
    <dataValidation type="list" allowBlank="1" sqref="C6:C80" xr:uid="{00000000-0002-0000-0800-000002000000}">
      <formula1>"Feature,Bug,Tech Debt,Refactor,Setup,DevOps,Security,Quality,Observability"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2C55E"/>
  </sheetPr>
  <dimension ref="A1:L19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30" customWidth="1"/>
    <col min="3" max="3" width="20" customWidth="1"/>
    <col min="4" max="4" width="16" customWidth="1"/>
    <col min="5" max="5" width="10" customWidth="1"/>
    <col min="6" max="7" width="14" customWidth="1"/>
    <col min="8" max="8" width="20" customWidth="1"/>
    <col min="9" max="10" width="12" customWidth="1"/>
    <col min="11" max="11" width="28" customWidth="1"/>
    <col min="12" max="12" width="16" customWidth="1"/>
  </cols>
  <sheetData>
    <row r="1" spans="1:12" ht="39.75" customHeight="1" x14ac:dyDescent="0.35">
      <c r="A1" s="7" t="s">
        <v>806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1.75" customHeight="1" x14ac:dyDescent="0.35">
      <c r="A2" s="6" t="s">
        <v>807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spans="1:12" ht="23.25" customHeight="1" x14ac:dyDescent="0.35">
      <c r="A5" s="13" t="s">
        <v>808</v>
      </c>
      <c r="B5" s="13" t="s">
        <v>495</v>
      </c>
      <c r="C5" s="13" t="s">
        <v>809</v>
      </c>
      <c r="D5" s="13" t="s">
        <v>497</v>
      </c>
      <c r="E5" s="13" t="s">
        <v>164</v>
      </c>
      <c r="F5" s="13" t="s">
        <v>5</v>
      </c>
      <c r="G5" s="13" t="s">
        <v>117</v>
      </c>
      <c r="H5" s="13" t="s">
        <v>810</v>
      </c>
      <c r="I5" s="13" t="s">
        <v>811</v>
      </c>
      <c r="J5" s="13" t="s">
        <v>812</v>
      </c>
      <c r="K5" s="13" t="s">
        <v>118</v>
      </c>
      <c r="L5" s="13" t="s">
        <v>243</v>
      </c>
    </row>
    <row r="6" spans="1:12" ht="15" customHeight="1" x14ac:dyDescent="0.35">
      <c r="A6" s="11" t="s">
        <v>813</v>
      </c>
      <c r="B6" s="11" t="s">
        <v>814</v>
      </c>
      <c r="C6" s="11" t="s">
        <v>815</v>
      </c>
      <c r="D6" s="11" t="s">
        <v>816</v>
      </c>
      <c r="E6" s="11" t="s">
        <v>172</v>
      </c>
      <c r="F6" s="11" t="s">
        <v>294</v>
      </c>
      <c r="G6" s="11" t="s">
        <v>177</v>
      </c>
      <c r="H6" s="11" t="s">
        <v>817</v>
      </c>
      <c r="I6" s="11" t="s">
        <v>818</v>
      </c>
      <c r="J6" s="11" t="s">
        <v>819</v>
      </c>
      <c r="K6" s="11"/>
      <c r="L6" s="11"/>
    </row>
    <row r="7" spans="1:12" ht="15" customHeight="1" x14ac:dyDescent="0.35">
      <c r="A7" s="10" t="s">
        <v>820</v>
      </c>
      <c r="B7" s="10" t="s">
        <v>821</v>
      </c>
      <c r="C7" s="10" t="s">
        <v>822</v>
      </c>
      <c r="D7" s="10" t="s">
        <v>816</v>
      </c>
      <c r="E7" s="10" t="s">
        <v>179</v>
      </c>
      <c r="F7" s="10" t="s">
        <v>294</v>
      </c>
      <c r="G7" s="10" t="s">
        <v>184</v>
      </c>
      <c r="H7" s="10" t="s">
        <v>823</v>
      </c>
      <c r="I7" s="10" t="s">
        <v>824</v>
      </c>
      <c r="J7" s="10" t="s">
        <v>398</v>
      </c>
      <c r="K7" s="10" t="s">
        <v>568</v>
      </c>
      <c r="L7" s="10" t="s">
        <v>290</v>
      </c>
    </row>
    <row r="8" spans="1:12" ht="15" customHeight="1" x14ac:dyDescent="0.35">
      <c r="A8" s="11" t="s">
        <v>825</v>
      </c>
      <c r="B8" s="11" t="s">
        <v>826</v>
      </c>
      <c r="C8" s="11" t="s">
        <v>827</v>
      </c>
      <c r="D8" s="11" t="s">
        <v>816</v>
      </c>
      <c r="E8" s="11" t="s">
        <v>179</v>
      </c>
      <c r="F8" s="11" t="s">
        <v>294</v>
      </c>
      <c r="G8" s="11" t="s">
        <v>177</v>
      </c>
      <c r="H8" s="11" t="s">
        <v>828</v>
      </c>
      <c r="I8" s="11" t="s">
        <v>824</v>
      </c>
      <c r="J8" s="11" t="s">
        <v>819</v>
      </c>
      <c r="K8" s="11"/>
      <c r="L8" s="11" t="s">
        <v>281</v>
      </c>
    </row>
    <row r="9" spans="1:12" ht="15" customHeight="1" x14ac:dyDescent="0.35">
      <c r="A9" s="10" t="s">
        <v>829</v>
      </c>
      <c r="B9" s="10" t="s">
        <v>830</v>
      </c>
      <c r="C9" s="10" t="s">
        <v>831</v>
      </c>
      <c r="D9" s="10" t="s">
        <v>816</v>
      </c>
      <c r="E9" s="10" t="s">
        <v>186</v>
      </c>
      <c r="F9" s="10" t="s">
        <v>294</v>
      </c>
      <c r="G9" s="10" t="s">
        <v>191</v>
      </c>
      <c r="H9" s="10" t="s">
        <v>832</v>
      </c>
      <c r="I9" s="10"/>
      <c r="J9" s="10" t="s">
        <v>398</v>
      </c>
      <c r="K9" s="10"/>
      <c r="L9" s="10" t="s">
        <v>825</v>
      </c>
    </row>
    <row r="10" spans="1:12" ht="15" customHeight="1" x14ac:dyDescent="0.35">
      <c r="A10" s="11" t="s">
        <v>833</v>
      </c>
      <c r="B10" s="11" t="s">
        <v>834</v>
      </c>
      <c r="C10" s="11" t="s">
        <v>835</v>
      </c>
      <c r="D10" s="11" t="s">
        <v>816</v>
      </c>
      <c r="E10" s="11" t="s">
        <v>179</v>
      </c>
      <c r="F10" s="11" t="s">
        <v>294</v>
      </c>
      <c r="G10" s="11" t="s">
        <v>184</v>
      </c>
      <c r="H10" s="11" t="s">
        <v>836</v>
      </c>
      <c r="I10" s="11" t="s">
        <v>824</v>
      </c>
      <c r="J10" s="11" t="s">
        <v>398</v>
      </c>
      <c r="K10" s="11" t="s">
        <v>837</v>
      </c>
      <c r="L10" s="11" t="s">
        <v>829</v>
      </c>
    </row>
    <row r="11" spans="1:12" ht="15" customHeight="1" x14ac:dyDescent="0.35">
      <c r="A11" s="10" t="s">
        <v>838</v>
      </c>
      <c r="B11" s="10" t="s">
        <v>839</v>
      </c>
      <c r="C11" s="10" t="s">
        <v>835</v>
      </c>
      <c r="D11" s="10" t="s">
        <v>816</v>
      </c>
      <c r="E11" s="10" t="s">
        <v>186</v>
      </c>
      <c r="F11" s="10" t="s">
        <v>294</v>
      </c>
      <c r="G11" s="10" t="s">
        <v>191</v>
      </c>
      <c r="H11" s="10" t="s">
        <v>840</v>
      </c>
      <c r="I11" s="10"/>
      <c r="J11" s="10" t="s">
        <v>398</v>
      </c>
      <c r="K11" s="10"/>
      <c r="L11" s="10" t="s">
        <v>833</v>
      </c>
    </row>
    <row r="12" spans="1:12" ht="15" customHeight="1" x14ac:dyDescent="0.35">
      <c r="A12" s="11" t="s">
        <v>841</v>
      </c>
      <c r="B12" s="11" t="s">
        <v>842</v>
      </c>
      <c r="C12" s="11" t="s">
        <v>843</v>
      </c>
      <c r="D12" s="11" t="s">
        <v>816</v>
      </c>
      <c r="E12" s="11" t="s">
        <v>186</v>
      </c>
      <c r="F12" s="11" t="s">
        <v>294</v>
      </c>
      <c r="G12" s="11" t="s">
        <v>191</v>
      </c>
      <c r="H12" s="11" t="s">
        <v>844</v>
      </c>
      <c r="I12" s="11"/>
      <c r="J12" s="11" t="s">
        <v>398</v>
      </c>
      <c r="K12" s="11"/>
      <c r="L12" s="11" t="s">
        <v>838</v>
      </c>
    </row>
    <row r="13" spans="1:12" ht="15" customHeight="1" x14ac:dyDescent="0.35">
      <c r="A13" s="10" t="s">
        <v>845</v>
      </c>
      <c r="B13" s="10" t="s">
        <v>846</v>
      </c>
      <c r="C13" s="10" t="s">
        <v>308</v>
      </c>
      <c r="D13" s="10" t="s">
        <v>816</v>
      </c>
      <c r="E13" s="10" t="s">
        <v>192</v>
      </c>
      <c r="F13" s="10" t="s">
        <v>294</v>
      </c>
      <c r="G13" s="10" t="s">
        <v>191</v>
      </c>
      <c r="H13" s="10" t="s">
        <v>847</v>
      </c>
      <c r="I13" s="10"/>
      <c r="J13" s="10" t="s">
        <v>398</v>
      </c>
      <c r="K13" s="10"/>
      <c r="L13" s="10" t="s">
        <v>305</v>
      </c>
    </row>
    <row r="14" spans="1:12" ht="15" customHeight="1" x14ac:dyDescent="0.35">
      <c r="A14" s="11" t="s">
        <v>848</v>
      </c>
      <c r="B14" s="11" t="s">
        <v>849</v>
      </c>
      <c r="C14" s="11" t="s">
        <v>308</v>
      </c>
      <c r="D14" s="11" t="s">
        <v>816</v>
      </c>
      <c r="E14" s="11" t="s">
        <v>192</v>
      </c>
      <c r="F14" s="11" t="s">
        <v>294</v>
      </c>
      <c r="G14" s="11" t="s">
        <v>191</v>
      </c>
      <c r="H14" s="11" t="s">
        <v>850</v>
      </c>
      <c r="I14" s="11"/>
      <c r="J14" s="11" t="s">
        <v>398</v>
      </c>
      <c r="K14" s="11"/>
      <c r="L14" s="11" t="s">
        <v>354</v>
      </c>
    </row>
    <row r="15" spans="1:12" ht="15" customHeight="1" x14ac:dyDescent="0.35">
      <c r="A15" s="10" t="s">
        <v>851</v>
      </c>
      <c r="B15" s="10" t="s">
        <v>852</v>
      </c>
      <c r="C15" s="10" t="s">
        <v>853</v>
      </c>
      <c r="D15" s="10" t="s">
        <v>816</v>
      </c>
      <c r="E15" s="10" t="s">
        <v>201</v>
      </c>
      <c r="F15" s="10" t="s">
        <v>294</v>
      </c>
      <c r="G15" s="10" t="s">
        <v>191</v>
      </c>
      <c r="H15" s="10" t="s">
        <v>854</v>
      </c>
      <c r="I15" s="10"/>
      <c r="J15" s="10" t="s">
        <v>398</v>
      </c>
      <c r="K15" s="10"/>
      <c r="L15" s="10" t="s">
        <v>841</v>
      </c>
    </row>
    <row r="16" spans="1:12" ht="15" customHeight="1" x14ac:dyDescent="0.35">
      <c r="A16" s="11" t="s">
        <v>855</v>
      </c>
      <c r="B16" s="11" t="s">
        <v>856</v>
      </c>
      <c r="C16" s="11" t="s">
        <v>857</v>
      </c>
      <c r="D16" s="11" t="s">
        <v>816</v>
      </c>
      <c r="E16" s="11" t="s">
        <v>186</v>
      </c>
      <c r="F16" s="11" t="s">
        <v>294</v>
      </c>
      <c r="G16" s="11" t="s">
        <v>191</v>
      </c>
      <c r="H16" s="11" t="s">
        <v>858</v>
      </c>
      <c r="I16" s="11"/>
      <c r="J16" s="11" t="s">
        <v>398</v>
      </c>
      <c r="K16" s="11" t="s">
        <v>584</v>
      </c>
      <c r="L16" s="11" t="s">
        <v>336</v>
      </c>
    </row>
    <row r="17" spans="1:12" ht="15" customHeight="1" x14ac:dyDescent="0.35">
      <c r="A17" s="10" t="s">
        <v>859</v>
      </c>
      <c r="B17" s="10" t="s">
        <v>860</v>
      </c>
      <c r="C17" s="10" t="s">
        <v>861</v>
      </c>
      <c r="D17" s="10" t="s">
        <v>816</v>
      </c>
      <c r="E17" s="10" t="s">
        <v>192</v>
      </c>
      <c r="F17" s="10" t="s">
        <v>294</v>
      </c>
      <c r="G17" s="10" t="s">
        <v>191</v>
      </c>
      <c r="H17" s="10" t="s">
        <v>862</v>
      </c>
      <c r="I17" s="10"/>
      <c r="J17" s="10" t="s">
        <v>398</v>
      </c>
      <c r="K17" s="10"/>
      <c r="L17" s="10" t="s">
        <v>825</v>
      </c>
    </row>
    <row r="18" spans="1:12" ht="15" customHeight="1" x14ac:dyDescent="0.35">
      <c r="A18" s="11" t="s">
        <v>863</v>
      </c>
      <c r="B18" s="11" t="s">
        <v>864</v>
      </c>
      <c r="C18" s="11" t="s">
        <v>317</v>
      </c>
      <c r="D18" s="11" t="s">
        <v>865</v>
      </c>
      <c r="E18" s="11" t="s">
        <v>197</v>
      </c>
      <c r="F18" s="11" t="s">
        <v>294</v>
      </c>
      <c r="G18" s="11" t="s">
        <v>191</v>
      </c>
      <c r="H18" s="11" t="s">
        <v>866</v>
      </c>
      <c r="I18" s="11"/>
      <c r="J18" s="11" t="s">
        <v>398</v>
      </c>
      <c r="K18" s="11" t="s">
        <v>867</v>
      </c>
      <c r="L18" s="11" t="s">
        <v>315</v>
      </c>
    </row>
    <row r="19" spans="1:12" ht="15" customHeight="1" x14ac:dyDescent="0.35">
      <c r="A19" s="10" t="s">
        <v>868</v>
      </c>
      <c r="B19" s="10" t="s">
        <v>869</v>
      </c>
      <c r="C19" s="10" t="s">
        <v>870</v>
      </c>
      <c r="D19" s="10" t="s">
        <v>816</v>
      </c>
      <c r="E19" s="10" t="s">
        <v>197</v>
      </c>
      <c r="F19" s="10" t="s">
        <v>294</v>
      </c>
      <c r="G19" s="10" t="s">
        <v>191</v>
      </c>
      <c r="H19" s="10" t="s">
        <v>871</v>
      </c>
      <c r="I19" s="10"/>
      <c r="J19" s="10" t="s">
        <v>398</v>
      </c>
      <c r="K19" s="10"/>
      <c r="L19" s="10" t="s">
        <v>305</v>
      </c>
    </row>
  </sheetData>
  <mergeCells count="3">
    <mergeCell ref="A1:L1"/>
    <mergeCell ref="A2:L2"/>
    <mergeCell ref="A3:L3"/>
  </mergeCells>
  <dataValidations count="2">
    <dataValidation type="list" allowBlank="1" sqref="G6:G80" xr:uid="{00000000-0002-0000-0900-000000000000}">
      <formula1>"Not Started,In Progress,Review,Done,Blocked"</formula1>
      <formula2>0</formula2>
    </dataValidation>
    <dataValidation type="list" allowBlank="1" sqref="K6:K80" xr:uid="{00000000-0002-0000-0900-000001000000}">
      <formula1>"Passed,Failed,Pending,N/A"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2C55E"/>
  </sheetPr>
  <dimension ref="A1:K17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2" width="20" customWidth="1"/>
    <col min="3" max="3" width="12" customWidth="1"/>
    <col min="4" max="4" width="10" customWidth="1"/>
    <col min="5" max="6" width="14" customWidth="1"/>
    <col min="7" max="7" width="20" customWidth="1"/>
    <col min="8" max="8" width="12" customWidth="1"/>
    <col min="9" max="9" width="14" customWidth="1"/>
    <col min="10" max="10" width="24" customWidth="1"/>
    <col min="11" max="11" width="16" customWidth="1"/>
  </cols>
  <sheetData>
    <row r="1" spans="1:11" ht="39.75" customHeight="1" x14ac:dyDescent="0.35">
      <c r="A1" s="7" t="s">
        <v>872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1.75" customHeight="1" x14ac:dyDescent="0.35">
      <c r="A2" s="6" t="s">
        <v>873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spans="1:11" ht="15" customHeight="1" x14ac:dyDescent="0.35">
      <c r="A5" s="13" t="s">
        <v>874</v>
      </c>
      <c r="B5" s="13" t="s">
        <v>875</v>
      </c>
      <c r="C5" s="13" t="s">
        <v>750</v>
      </c>
      <c r="D5" s="13" t="s">
        <v>164</v>
      </c>
      <c r="E5" s="13" t="s">
        <v>5</v>
      </c>
      <c r="F5" s="13" t="s">
        <v>117</v>
      </c>
      <c r="G5" s="13" t="s">
        <v>810</v>
      </c>
      <c r="H5" s="13" t="s">
        <v>876</v>
      </c>
      <c r="I5" s="13" t="s">
        <v>877</v>
      </c>
      <c r="J5" s="13" t="s">
        <v>118</v>
      </c>
      <c r="K5" s="13" t="s">
        <v>243</v>
      </c>
    </row>
    <row r="6" spans="1:11" ht="15" customHeight="1" x14ac:dyDescent="0.35">
      <c r="A6" s="11" t="s">
        <v>878</v>
      </c>
      <c r="B6" s="11" t="s">
        <v>879</v>
      </c>
      <c r="C6" s="11" t="s">
        <v>880</v>
      </c>
      <c r="D6" s="11" t="s">
        <v>172</v>
      </c>
      <c r="E6" s="11" t="s">
        <v>346</v>
      </c>
      <c r="F6" s="11" t="s">
        <v>177</v>
      </c>
      <c r="G6" s="11" t="s">
        <v>881</v>
      </c>
      <c r="H6" s="11" t="s">
        <v>215</v>
      </c>
      <c r="I6" s="11" t="s">
        <v>882</v>
      </c>
      <c r="J6" s="11" t="s">
        <v>883</v>
      </c>
      <c r="K6" s="11"/>
    </row>
    <row r="7" spans="1:11" ht="15" customHeight="1" x14ac:dyDescent="0.35">
      <c r="A7" s="10" t="s">
        <v>884</v>
      </c>
      <c r="B7" s="10" t="s">
        <v>885</v>
      </c>
      <c r="C7" s="10" t="s">
        <v>880</v>
      </c>
      <c r="D7" s="10" t="s">
        <v>179</v>
      </c>
      <c r="E7" s="10" t="s">
        <v>346</v>
      </c>
      <c r="F7" s="10" t="s">
        <v>184</v>
      </c>
      <c r="G7" s="10" t="s">
        <v>886</v>
      </c>
      <c r="H7" s="10" t="s">
        <v>215</v>
      </c>
      <c r="I7" s="10" t="s">
        <v>887</v>
      </c>
      <c r="J7" s="10" t="s">
        <v>888</v>
      </c>
      <c r="K7" s="10"/>
    </row>
    <row r="8" spans="1:11" ht="15" customHeight="1" x14ac:dyDescent="0.35">
      <c r="A8" s="11" t="s">
        <v>889</v>
      </c>
      <c r="B8" s="11" t="s">
        <v>890</v>
      </c>
      <c r="C8" s="11" t="s">
        <v>765</v>
      </c>
      <c r="D8" s="11" t="s">
        <v>179</v>
      </c>
      <c r="E8" s="11" t="s">
        <v>346</v>
      </c>
      <c r="F8" s="11" t="s">
        <v>184</v>
      </c>
      <c r="G8" s="11" t="s">
        <v>891</v>
      </c>
      <c r="H8" s="11" t="s">
        <v>227</v>
      </c>
      <c r="I8" s="11" t="s">
        <v>887</v>
      </c>
      <c r="J8" s="11" t="s">
        <v>892</v>
      </c>
      <c r="K8" s="11" t="s">
        <v>281</v>
      </c>
    </row>
    <row r="9" spans="1:11" ht="15" customHeight="1" x14ac:dyDescent="0.35">
      <c r="A9" s="10" t="s">
        <v>893</v>
      </c>
      <c r="B9" s="10" t="s">
        <v>894</v>
      </c>
      <c r="C9" s="10" t="s">
        <v>765</v>
      </c>
      <c r="D9" s="10" t="s">
        <v>186</v>
      </c>
      <c r="E9" s="10" t="s">
        <v>346</v>
      </c>
      <c r="F9" s="10" t="s">
        <v>191</v>
      </c>
      <c r="G9" s="10" t="s">
        <v>895</v>
      </c>
      <c r="H9" s="10" t="s">
        <v>227</v>
      </c>
      <c r="I9" s="10" t="s">
        <v>896</v>
      </c>
      <c r="J9" s="10" t="s">
        <v>897</v>
      </c>
      <c r="K9" s="10" t="s">
        <v>829</v>
      </c>
    </row>
    <row r="10" spans="1:11" ht="15" customHeight="1" x14ac:dyDescent="0.35">
      <c r="A10" s="11" t="s">
        <v>898</v>
      </c>
      <c r="B10" s="11" t="s">
        <v>899</v>
      </c>
      <c r="C10" s="11" t="s">
        <v>765</v>
      </c>
      <c r="D10" s="11" t="s">
        <v>186</v>
      </c>
      <c r="E10" s="11" t="s">
        <v>346</v>
      </c>
      <c r="F10" s="11" t="s">
        <v>191</v>
      </c>
      <c r="G10" s="11" t="s">
        <v>900</v>
      </c>
      <c r="H10" s="11" t="s">
        <v>227</v>
      </c>
      <c r="I10" s="11" t="s">
        <v>896</v>
      </c>
      <c r="J10" s="11" t="s">
        <v>901</v>
      </c>
      <c r="K10" s="11" t="s">
        <v>833</v>
      </c>
    </row>
    <row r="11" spans="1:11" ht="15" customHeight="1" x14ac:dyDescent="0.35">
      <c r="A11" s="10" t="s">
        <v>902</v>
      </c>
      <c r="B11" s="10" t="s">
        <v>903</v>
      </c>
      <c r="C11" s="10" t="s">
        <v>765</v>
      </c>
      <c r="D11" s="10" t="s">
        <v>186</v>
      </c>
      <c r="E11" s="10" t="s">
        <v>346</v>
      </c>
      <c r="F11" s="10" t="s">
        <v>191</v>
      </c>
      <c r="G11" s="10" t="s">
        <v>904</v>
      </c>
      <c r="H11" s="10" t="s">
        <v>227</v>
      </c>
      <c r="I11" s="10" t="s">
        <v>896</v>
      </c>
      <c r="J11" s="10"/>
      <c r="K11" s="10" t="s">
        <v>841</v>
      </c>
    </row>
    <row r="12" spans="1:11" ht="15" customHeight="1" x14ac:dyDescent="0.35">
      <c r="A12" s="11" t="s">
        <v>905</v>
      </c>
      <c r="B12" s="11" t="s">
        <v>906</v>
      </c>
      <c r="C12" s="11" t="s">
        <v>765</v>
      </c>
      <c r="D12" s="11" t="s">
        <v>192</v>
      </c>
      <c r="E12" s="11" t="s">
        <v>346</v>
      </c>
      <c r="F12" s="11" t="s">
        <v>191</v>
      </c>
      <c r="G12" s="11" t="s">
        <v>907</v>
      </c>
      <c r="H12" s="11" t="s">
        <v>227</v>
      </c>
      <c r="I12" s="11" t="s">
        <v>896</v>
      </c>
      <c r="J12" s="11" t="s">
        <v>908</v>
      </c>
      <c r="K12" s="11" t="s">
        <v>305</v>
      </c>
    </row>
    <row r="13" spans="1:11" ht="15" customHeight="1" x14ac:dyDescent="0.35">
      <c r="A13" s="10" t="s">
        <v>524</v>
      </c>
      <c r="B13" s="10" t="s">
        <v>909</v>
      </c>
      <c r="C13" s="10" t="s">
        <v>765</v>
      </c>
      <c r="D13" s="10" t="s">
        <v>197</v>
      </c>
      <c r="E13" s="10" t="s">
        <v>346</v>
      </c>
      <c r="F13" s="10" t="s">
        <v>191</v>
      </c>
      <c r="G13" s="10" t="s">
        <v>910</v>
      </c>
      <c r="H13" s="10" t="s">
        <v>227</v>
      </c>
      <c r="I13" s="10" t="s">
        <v>896</v>
      </c>
      <c r="J13" s="10"/>
      <c r="K13" s="10" t="s">
        <v>305</v>
      </c>
    </row>
    <row r="14" spans="1:11" ht="15" customHeight="1" x14ac:dyDescent="0.35">
      <c r="A14" s="11" t="s">
        <v>911</v>
      </c>
      <c r="B14" s="11" t="s">
        <v>912</v>
      </c>
      <c r="C14" s="11" t="s">
        <v>765</v>
      </c>
      <c r="D14" s="11" t="s">
        <v>201</v>
      </c>
      <c r="E14" s="11" t="s">
        <v>346</v>
      </c>
      <c r="F14" s="11" t="s">
        <v>191</v>
      </c>
      <c r="G14" s="11" t="s">
        <v>913</v>
      </c>
      <c r="H14" s="11" t="s">
        <v>227</v>
      </c>
      <c r="I14" s="11" t="s">
        <v>896</v>
      </c>
      <c r="J14" s="11" t="s">
        <v>914</v>
      </c>
      <c r="K14" s="11"/>
    </row>
    <row r="15" spans="1:11" ht="15" customHeight="1" x14ac:dyDescent="0.35">
      <c r="A15" s="10" t="s">
        <v>915</v>
      </c>
      <c r="B15" s="10" t="s">
        <v>916</v>
      </c>
      <c r="C15" s="10" t="s">
        <v>765</v>
      </c>
      <c r="D15" s="10" t="s">
        <v>201</v>
      </c>
      <c r="E15" s="10" t="s">
        <v>346</v>
      </c>
      <c r="F15" s="10" t="s">
        <v>191</v>
      </c>
      <c r="G15" s="10" t="s">
        <v>917</v>
      </c>
      <c r="H15" s="10" t="s">
        <v>227</v>
      </c>
      <c r="I15" s="10" t="s">
        <v>896</v>
      </c>
      <c r="J15" s="10"/>
      <c r="K15" s="10"/>
    </row>
    <row r="16" spans="1:11" ht="15" customHeight="1" x14ac:dyDescent="0.35">
      <c r="A16" s="11" t="s">
        <v>860</v>
      </c>
      <c r="B16" s="11" t="s">
        <v>918</v>
      </c>
      <c r="C16" s="11" t="s">
        <v>765</v>
      </c>
      <c r="D16" s="11" t="s">
        <v>192</v>
      </c>
      <c r="E16" s="11" t="s">
        <v>346</v>
      </c>
      <c r="F16" s="11" t="s">
        <v>191</v>
      </c>
      <c r="G16" s="11" t="s">
        <v>919</v>
      </c>
      <c r="H16" s="11" t="s">
        <v>227</v>
      </c>
      <c r="I16" s="11" t="s">
        <v>896</v>
      </c>
      <c r="J16" s="11"/>
      <c r="K16" s="11"/>
    </row>
    <row r="17" spans="1:11" ht="15" customHeight="1" x14ac:dyDescent="0.35">
      <c r="A17" s="10" t="s">
        <v>920</v>
      </c>
      <c r="B17" s="10" t="s">
        <v>921</v>
      </c>
      <c r="C17" s="10" t="s">
        <v>880</v>
      </c>
      <c r="D17" s="10" t="s">
        <v>201</v>
      </c>
      <c r="E17" s="10" t="s">
        <v>69</v>
      </c>
      <c r="F17" s="10" t="s">
        <v>191</v>
      </c>
      <c r="G17" s="10"/>
      <c r="H17" s="10" t="s">
        <v>215</v>
      </c>
      <c r="I17" s="10" t="s">
        <v>922</v>
      </c>
      <c r="J17" s="10" t="s">
        <v>923</v>
      </c>
      <c r="K17" s="10"/>
    </row>
  </sheetData>
  <mergeCells count="3">
    <mergeCell ref="A1:K1"/>
    <mergeCell ref="A2:K2"/>
    <mergeCell ref="A3:K3"/>
  </mergeCells>
  <dataValidations count="1">
    <dataValidation type="list" allowBlank="1" sqref="F6:F60" xr:uid="{00000000-0002-0000-0A00-000000000000}">
      <formula1>"Not Started,In Progress,Review,Done,Blocked"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2C55E"/>
  </sheetPr>
  <dimension ref="A1:K19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8" customWidth="1"/>
    <col min="3" max="3" width="36" customWidth="1"/>
    <col min="4" max="4" width="10" customWidth="1"/>
    <col min="5" max="5" width="14" customWidth="1"/>
    <col min="6" max="6" width="12" customWidth="1"/>
    <col min="7" max="7" width="14" customWidth="1"/>
    <col min="8" max="8" width="12" customWidth="1"/>
    <col min="9" max="9" width="8" customWidth="1"/>
    <col min="10" max="10" width="26" customWidth="1"/>
    <col min="11" max="11" width="16" customWidth="1"/>
  </cols>
  <sheetData>
    <row r="1" spans="1:11" ht="39.75" customHeight="1" x14ac:dyDescent="0.35">
      <c r="A1" s="7" t="s">
        <v>924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1.75" customHeight="1" x14ac:dyDescent="0.35">
      <c r="A2" s="6" t="s">
        <v>925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spans="1:11" ht="15" customHeight="1" x14ac:dyDescent="0.35">
      <c r="A5" s="13" t="s">
        <v>926</v>
      </c>
      <c r="B5" s="13" t="s">
        <v>927</v>
      </c>
      <c r="C5" s="13" t="s">
        <v>928</v>
      </c>
      <c r="D5" s="13" t="s">
        <v>164</v>
      </c>
      <c r="E5" s="13" t="s">
        <v>5</v>
      </c>
      <c r="F5" s="13" t="s">
        <v>117</v>
      </c>
      <c r="G5" s="13" t="s">
        <v>929</v>
      </c>
      <c r="H5" s="13" t="s">
        <v>930</v>
      </c>
      <c r="I5" s="13" t="s">
        <v>931</v>
      </c>
      <c r="J5" s="13" t="s">
        <v>118</v>
      </c>
      <c r="K5" s="13" t="s">
        <v>243</v>
      </c>
    </row>
    <row r="6" spans="1:11" ht="15" customHeight="1" x14ac:dyDescent="0.35">
      <c r="A6" s="11" t="s">
        <v>932</v>
      </c>
      <c r="B6" s="11" t="s">
        <v>933</v>
      </c>
      <c r="C6" s="11" t="s">
        <v>934</v>
      </c>
      <c r="D6" s="11" t="s">
        <v>179</v>
      </c>
      <c r="E6" s="11" t="s">
        <v>284</v>
      </c>
      <c r="F6" s="11" t="s">
        <v>177</v>
      </c>
      <c r="G6" s="11" t="s">
        <v>397</v>
      </c>
      <c r="H6" s="11" t="s">
        <v>935</v>
      </c>
      <c r="I6" s="11" t="s">
        <v>377</v>
      </c>
      <c r="J6" s="11" t="s">
        <v>936</v>
      </c>
      <c r="K6" s="11"/>
    </row>
    <row r="7" spans="1:11" ht="15" customHeight="1" x14ac:dyDescent="0.35">
      <c r="A7" s="10" t="s">
        <v>937</v>
      </c>
      <c r="B7" s="10" t="s">
        <v>933</v>
      </c>
      <c r="C7" s="10" t="s">
        <v>938</v>
      </c>
      <c r="D7" s="10" t="s">
        <v>179</v>
      </c>
      <c r="E7" s="10" t="s">
        <v>284</v>
      </c>
      <c r="F7" s="10" t="s">
        <v>177</v>
      </c>
      <c r="G7" s="10" t="s">
        <v>397</v>
      </c>
      <c r="H7" s="10" t="s">
        <v>939</v>
      </c>
      <c r="I7" s="10" t="s">
        <v>377</v>
      </c>
      <c r="J7" s="10" t="s">
        <v>940</v>
      </c>
      <c r="K7" s="10"/>
    </row>
    <row r="8" spans="1:11" ht="15" customHeight="1" x14ac:dyDescent="0.35">
      <c r="A8" s="11" t="s">
        <v>941</v>
      </c>
      <c r="B8" s="11" t="s">
        <v>942</v>
      </c>
      <c r="C8" s="11" t="s">
        <v>943</v>
      </c>
      <c r="D8" s="11" t="s">
        <v>179</v>
      </c>
      <c r="E8" s="11" t="s">
        <v>284</v>
      </c>
      <c r="F8" s="11" t="s">
        <v>177</v>
      </c>
      <c r="G8" s="11" t="s">
        <v>397</v>
      </c>
      <c r="H8" s="11" t="s">
        <v>935</v>
      </c>
      <c r="I8" s="11" t="s">
        <v>377</v>
      </c>
      <c r="J8" s="11"/>
      <c r="K8" s="11"/>
    </row>
    <row r="9" spans="1:11" ht="15" customHeight="1" x14ac:dyDescent="0.35">
      <c r="A9" s="10" t="s">
        <v>944</v>
      </c>
      <c r="B9" s="10" t="s">
        <v>942</v>
      </c>
      <c r="C9" s="10" t="s">
        <v>945</v>
      </c>
      <c r="D9" s="10" t="s">
        <v>179</v>
      </c>
      <c r="E9" s="10" t="s">
        <v>284</v>
      </c>
      <c r="F9" s="10" t="s">
        <v>177</v>
      </c>
      <c r="G9" s="10" t="s">
        <v>377</v>
      </c>
      <c r="H9" s="10" t="s">
        <v>946</v>
      </c>
      <c r="I9" s="10" t="s">
        <v>377</v>
      </c>
      <c r="J9" s="10"/>
      <c r="K9" s="10" t="s">
        <v>281</v>
      </c>
    </row>
    <row r="10" spans="1:11" ht="15" customHeight="1" x14ac:dyDescent="0.35">
      <c r="A10" s="11" t="s">
        <v>947</v>
      </c>
      <c r="B10" s="11" t="s">
        <v>933</v>
      </c>
      <c r="C10" s="11" t="s">
        <v>948</v>
      </c>
      <c r="D10" s="11" t="s">
        <v>179</v>
      </c>
      <c r="E10" s="11" t="s">
        <v>284</v>
      </c>
      <c r="F10" s="11" t="s">
        <v>177</v>
      </c>
      <c r="G10" s="11" t="s">
        <v>377</v>
      </c>
      <c r="H10" s="11" t="s">
        <v>949</v>
      </c>
      <c r="I10" s="11" t="s">
        <v>377</v>
      </c>
      <c r="J10" s="11"/>
      <c r="K10" s="11"/>
    </row>
    <row r="11" spans="1:11" ht="15" customHeight="1" x14ac:dyDescent="0.35">
      <c r="A11" s="10" t="s">
        <v>950</v>
      </c>
      <c r="B11" s="10" t="s">
        <v>942</v>
      </c>
      <c r="C11" s="10" t="s">
        <v>948</v>
      </c>
      <c r="D11" s="10" t="s">
        <v>179</v>
      </c>
      <c r="E11" s="10" t="s">
        <v>284</v>
      </c>
      <c r="F11" s="10" t="s">
        <v>177</v>
      </c>
      <c r="G11" s="10" t="s">
        <v>377</v>
      </c>
      <c r="H11" s="10" t="s">
        <v>949</v>
      </c>
      <c r="I11" s="10" t="s">
        <v>377</v>
      </c>
      <c r="J11" s="10" t="s">
        <v>951</v>
      </c>
      <c r="K11" s="10"/>
    </row>
    <row r="12" spans="1:11" ht="15" customHeight="1" x14ac:dyDescent="0.35">
      <c r="A12" s="11" t="s">
        <v>952</v>
      </c>
      <c r="B12" s="11" t="s">
        <v>953</v>
      </c>
      <c r="C12" s="11" t="s">
        <v>954</v>
      </c>
      <c r="D12" s="11" t="s">
        <v>179</v>
      </c>
      <c r="E12" s="11" t="s">
        <v>284</v>
      </c>
      <c r="F12" s="11" t="s">
        <v>177</v>
      </c>
      <c r="G12" s="11" t="s">
        <v>377</v>
      </c>
      <c r="H12" s="11" t="s">
        <v>946</v>
      </c>
      <c r="I12" s="11" t="s">
        <v>377</v>
      </c>
      <c r="J12" s="11"/>
      <c r="K12" s="11"/>
    </row>
    <row r="13" spans="1:11" ht="15" customHeight="1" x14ac:dyDescent="0.35">
      <c r="A13" s="10" t="s">
        <v>955</v>
      </c>
      <c r="B13" s="10" t="s">
        <v>956</v>
      </c>
      <c r="C13" s="10" t="s">
        <v>954</v>
      </c>
      <c r="D13" s="10" t="s">
        <v>179</v>
      </c>
      <c r="E13" s="10" t="s">
        <v>284</v>
      </c>
      <c r="F13" s="10" t="s">
        <v>177</v>
      </c>
      <c r="G13" s="10" t="s">
        <v>377</v>
      </c>
      <c r="H13" s="10" t="s">
        <v>946</v>
      </c>
      <c r="I13" s="10" t="s">
        <v>377</v>
      </c>
      <c r="J13" s="10" t="s">
        <v>957</v>
      </c>
      <c r="K13" s="10"/>
    </row>
    <row r="14" spans="1:11" ht="15" customHeight="1" x14ac:dyDescent="0.35">
      <c r="A14" s="11" t="s">
        <v>958</v>
      </c>
      <c r="B14" s="11" t="s">
        <v>933</v>
      </c>
      <c r="C14" s="11" t="s">
        <v>959</v>
      </c>
      <c r="D14" s="11" t="s">
        <v>192</v>
      </c>
      <c r="E14" s="11" t="s">
        <v>36</v>
      </c>
      <c r="F14" s="11" t="s">
        <v>230</v>
      </c>
      <c r="G14" s="11" t="s">
        <v>377</v>
      </c>
      <c r="H14" s="11" t="s">
        <v>960</v>
      </c>
      <c r="I14" s="11" t="s">
        <v>397</v>
      </c>
      <c r="J14" s="11" t="s">
        <v>961</v>
      </c>
      <c r="K14" s="11" t="s">
        <v>305</v>
      </c>
    </row>
    <row r="15" spans="1:11" ht="15" customHeight="1" x14ac:dyDescent="0.35">
      <c r="A15" s="10" t="s">
        <v>520</v>
      </c>
      <c r="B15" s="10" t="s">
        <v>942</v>
      </c>
      <c r="C15" s="10" t="s">
        <v>962</v>
      </c>
      <c r="D15" s="10" t="s">
        <v>192</v>
      </c>
      <c r="E15" s="10" t="s">
        <v>36</v>
      </c>
      <c r="F15" s="10" t="s">
        <v>230</v>
      </c>
      <c r="G15" s="10" t="s">
        <v>377</v>
      </c>
      <c r="H15" s="10" t="s">
        <v>935</v>
      </c>
      <c r="I15" s="10" t="s">
        <v>397</v>
      </c>
      <c r="J15" s="10"/>
      <c r="K15" s="10" t="s">
        <v>354</v>
      </c>
    </row>
    <row r="16" spans="1:11" ht="15" customHeight="1" x14ac:dyDescent="0.35">
      <c r="A16" s="11" t="s">
        <v>963</v>
      </c>
      <c r="B16" s="11" t="s">
        <v>933</v>
      </c>
      <c r="C16" s="11" t="s">
        <v>964</v>
      </c>
      <c r="D16" s="11" t="s">
        <v>197</v>
      </c>
      <c r="E16" s="11" t="s">
        <v>284</v>
      </c>
      <c r="F16" s="11" t="s">
        <v>230</v>
      </c>
      <c r="G16" s="11" t="s">
        <v>377</v>
      </c>
      <c r="H16" s="11" t="s">
        <v>965</v>
      </c>
      <c r="I16" s="11" t="s">
        <v>397</v>
      </c>
      <c r="J16" s="11" t="s">
        <v>966</v>
      </c>
      <c r="K16" s="11" t="s">
        <v>315</v>
      </c>
    </row>
    <row r="17" spans="1:11" ht="15" customHeight="1" x14ac:dyDescent="0.35">
      <c r="A17" s="10" t="s">
        <v>967</v>
      </c>
      <c r="B17" s="10" t="s">
        <v>942</v>
      </c>
      <c r="C17" s="10" t="s">
        <v>968</v>
      </c>
      <c r="D17" s="10" t="s">
        <v>197</v>
      </c>
      <c r="E17" s="10" t="s">
        <v>36</v>
      </c>
      <c r="F17" s="10" t="s">
        <v>230</v>
      </c>
      <c r="G17" s="10" t="s">
        <v>377</v>
      </c>
      <c r="H17" s="10" t="s">
        <v>935</v>
      </c>
      <c r="I17" s="10" t="s">
        <v>397</v>
      </c>
      <c r="J17" s="10" t="s">
        <v>969</v>
      </c>
      <c r="K17" s="10"/>
    </row>
    <row r="18" spans="1:11" ht="15" customHeight="1" x14ac:dyDescent="0.35">
      <c r="A18" s="11" t="s">
        <v>970</v>
      </c>
      <c r="B18" s="11" t="s">
        <v>933</v>
      </c>
      <c r="C18" s="11" t="s">
        <v>971</v>
      </c>
      <c r="D18" s="11" t="s">
        <v>186</v>
      </c>
      <c r="E18" s="11" t="s">
        <v>284</v>
      </c>
      <c r="F18" s="11" t="s">
        <v>230</v>
      </c>
      <c r="G18" s="11" t="s">
        <v>377</v>
      </c>
      <c r="H18" s="11" t="s">
        <v>935</v>
      </c>
      <c r="I18" s="11" t="s">
        <v>397</v>
      </c>
      <c r="J18" s="11"/>
      <c r="K18" s="11"/>
    </row>
    <row r="19" spans="1:11" ht="15" customHeight="1" x14ac:dyDescent="0.35">
      <c r="A19" s="10" t="s">
        <v>972</v>
      </c>
      <c r="B19" s="10" t="s">
        <v>942</v>
      </c>
      <c r="C19" s="10" t="s">
        <v>973</v>
      </c>
      <c r="D19" s="10" t="s">
        <v>186</v>
      </c>
      <c r="E19" s="10" t="s">
        <v>284</v>
      </c>
      <c r="F19" s="10" t="s">
        <v>230</v>
      </c>
      <c r="G19" s="10" t="s">
        <v>377</v>
      </c>
      <c r="H19" s="10" t="s">
        <v>949</v>
      </c>
      <c r="I19" s="10" t="s">
        <v>397</v>
      </c>
      <c r="J19" s="10" t="s">
        <v>974</v>
      </c>
      <c r="K19" s="10"/>
    </row>
  </sheetData>
  <mergeCells count="3">
    <mergeCell ref="A1:K1"/>
    <mergeCell ref="A2:K2"/>
    <mergeCell ref="A3:K3"/>
  </mergeCells>
  <dataValidations count="2">
    <dataValidation type="list" allowBlank="1" sqref="F6:F70" xr:uid="{00000000-0002-0000-0B00-000000000000}">
      <formula1>"Not Started,Planned,In Progress,Done,Blocked,Deprecated"</formula1>
      <formula2>0</formula2>
    </dataValidation>
    <dataValidation type="list" allowBlank="1" sqref="B6:B70" xr:uid="{00000000-0002-0000-0B00-000001000000}">
      <formula1>"GET,POST,PUT,PATCH,DELETE,WS"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2C55E"/>
  </sheetPr>
  <dimension ref="A1:K19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4" customWidth="1"/>
    <col min="2" max="2" width="16" customWidth="1"/>
    <col min="3" max="3" width="14" customWidth="1"/>
    <col min="4" max="4" width="10" customWidth="1"/>
    <col min="5" max="5" width="14" customWidth="1"/>
    <col min="6" max="6" width="12" customWidth="1"/>
    <col min="7" max="7" width="18" customWidth="1"/>
    <col min="8" max="8" width="14" customWidth="1"/>
    <col min="9" max="9" width="10" customWidth="1"/>
    <col min="10" max="10" width="32" customWidth="1"/>
    <col min="11" max="11" width="10" customWidth="1"/>
  </cols>
  <sheetData>
    <row r="1" spans="1:11" ht="39.75" customHeight="1" x14ac:dyDescent="0.35">
      <c r="A1" s="7" t="s">
        <v>975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1.75" customHeight="1" x14ac:dyDescent="0.35">
      <c r="A2" s="6" t="s">
        <v>976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spans="1:11" ht="23.25" customHeight="1" x14ac:dyDescent="0.35">
      <c r="A5" s="13" t="s">
        <v>423</v>
      </c>
      <c r="B5" s="13" t="s">
        <v>208</v>
      </c>
      <c r="C5" s="13" t="s">
        <v>977</v>
      </c>
      <c r="D5" s="13" t="s">
        <v>164</v>
      </c>
      <c r="E5" s="13" t="s">
        <v>5</v>
      </c>
      <c r="F5" s="13" t="s">
        <v>117</v>
      </c>
      <c r="G5" s="13" t="s">
        <v>978</v>
      </c>
      <c r="H5" s="13" t="s">
        <v>725</v>
      </c>
      <c r="I5" s="13" t="s">
        <v>979</v>
      </c>
      <c r="J5" s="13" t="s">
        <v>118</v>
      </c>
      <c r="K5" s="13" t="s">
        <v>238</v>
      </c>
    </row>
    <row r="6" spans="1:11" ht="15" customHeight="1" x14ac:dyDescent="0.35">
      <c r="A6" s="11" t="s">
        <v>980</v>
      </c>
      <c r="B6" s="11" t="s">
        <v>981</v>
      </c>
      <c r="C6" s="11" t="s">
        <v>82</v>
      </c>
      <c r="D6" s="11" t="s">
        <v>179</v>
      </c>
      <c r="E6" s="11" t="s">
        <v>50</v>
      </c>
      <c r="F6" s="11" t="s">
        <v>184</v>
      </c>
      <c r="G6" s="11" t="s">
        <v>982</v>
      </c>
      <c r="H6" s="11" t="s">
        <v>141</v>
      </c>
      <c r="I6" s="20" t="s">
        <v>644</v>
      </c>
      <c r="J6" s="11" t="s">
        <v>983</v>
      </c>
      <c r="K6" s="11" t="s">
        <v>215</v>
      </c>
    </row>
    <row r="7" spans="1:11" ht="15" customHeight="1" x14ac:dyDescent="0.35">
      <c r="A7" s="10" t="s">
        <v>984</v>
      </c>
      <c r="B7" s="10" t="s">
        <v>985</v>
      </c>
      <c r="C7" s="10" t="s">
        <v>620</v>
      </c>
      <c r="D7" s="10" t="s">
        <v>179</v>
      </c>
      <c r="E7" s="10" t="s">
        <v>50</v>
      </c>
      <c r="F7" s="10" t="s">
        <v>177</v>
      </c>
      <c r="G7" s="10" t="s">
        <v>986</v>
      </c>
      <c r="H7" s="10" t="s">
        <v>987</v>
      </c>
      <c r="I7" s="21" t="s">
        <v>988</v>
      </c>
      <c r="J7" s="10" t="s">
        <v>989</v>
      </c>
      <c r="K7" s="10" t="s">
        <v>215</v>
      </c>
    </row>
    <row r="8" spans="1:11" ht="15" customHeight="1" x14ac:dyDescent="0.35">
      <c r="A8" s="11" t="s">
        <v>990</v>
      </c>
      <c r="B8" s="11" t="s">
        <v>985</v>
      </c>
      <c r="C8" s="11" t="s">
        <v>620</v>
      </c>
      <c r="D8" s="11" t="s">
        <v>172</v>
      </c>
      <c r="E8" s="11" t="s">
        <v>50</v>
      </c>
      <c r="F8" s="11" t="s">
        <v>177</v>
      </c>
      <c r="G8" s="11" t="s">
        <v>991</v>
      </c>
      <c r="H8" s="11" t="s">
        <v>141</v>
      </c>
      <c r="I8" s="20" t="s">
        <v>992</v>
      </c>
      <c r="J8" s="11" t="s">
        <v>993</v>
      </c>
      <c r="K8" s="11" t="s">
        <v>215</v>
      </c>
    </row>
    <row r="9" spans="1:11" ht="15" customHeight="1" x14ac:dyDescent="0.35">
      <c r="A9" s="10" t="s">
        <v>994</v>
      </c>
      <c r="B9" s="10" t="s">
        <v>775</v>
      </c>
      <c r="C9" s="10" t="s">
        <v>620</v>
      </c>
      <c r="D9" s="10" t="s">
        <v>172</v>
      </c>
      <c r="E9" s="10" t="s">
        <v>50</v>
      </c>
      <c r="F9" s="10" t="s">
        <v>177</v>
      </c>
      <c r="G9" s="10" t="s">
        <v>995</v>
      </c>
      <c r="H9" s="10" t="s">
        <v>141</v>
      </c>
      <c r="I9" s="21" t="s">
        <v>992</v>
      </c>
      <c r="J9" s="10" t="s">
        <v>996</v>
      </c>
      <c r="K9" s="10" t="s">
        <v>215</v>
      </c>
    </row>
    <row r="10" spans="1:11" ht="15" customHeight="1" x14ac:dyDescent="0.35">
      <c r="A10" s="11" t="s">
        <v>997</v>
      </c>
      <c r="B10" s="11" t="s">
        <v>998</v>
      </c>
      <c r="C10" s="11" t="s">
        <v>620</v>
      </c>
      <c r="D10" s="11" t="s">
        <v>179</v>
      </c>
      <c r="E10" s="11" t="s">
        <v>50</v>
      </c>
      <c r="F10" s="11" t="s">
        <v>177</v>
      </c>
      <c r="G10" s="11" t="s">
        <v>999</v>
      </c>
      <c r="H10" s="11" t="s">
        <v>141</v>
      </c>
      <c r="I10" s="20" t="s">
        <v>988</v>
      </c>
      <c r="J10" s="11" t="s">
        <v>1000</v>
      </c>
      <c r="K10" s="11" t="s">
        <v>219</v>
      </c>
    </row>
    <row r="11" spans="1:11" ht="15" customHeight="1" x14ac:dyDescent="0.35">
      <c r="A11" s="10" t="s">
        <v>1001</v>
      </c>
      <c r="B11" s="10" t="s">
        <v>1002</v>
      </c>
      <c r="C11" s="10" t="s">
        <v>620</v>
      </c>
      <c r="D11" s="10" t="s">
        <v>186</v>
      </c>
      <c r="E11" s="10" t="s">
        <v>50</v>
      </c>
      <c r="F11" s="10" t="s">
        <v>230</v>
      </c>
      <c r="G11" s="10" t="s">
        <v>1003</v>
      </c>
      <c r="H11" s="10" t="s">
        <v>1004</v>
      </c>
      <c r="I11" s="21" t="s">
        <v>992</v>
      </c>
      <c r="J11" s="10" t="s">
        <v>1005</v>
      </c>
      <c r="K11" s="10" t="s">
        <v>219</v>
      </c>
    </row>
    <row r="12" spans="1:11" ht="15" customHeight="1" x14ac:dyDescent="0.35">
      <c r="A12" s="11" t="s">
        <v>1006</v>
      </c>
      <c r="B12" s="11" t="s">
        <v>609</v>
      </c>
      <c r="C12" s="11" t="s">
        <v>620</v>
      </c>
      <c r="D12" s="11" t="s">
        <v>192</v>
      </c>
      <c r="E12" s="11" t="s">
        <v>50</v>
      </c>
      <c r="F12" s="11" t="s">
        <v>230</v>
      </c>
      <c r="G12" s="11" t="s">
        <v>621</v>
      </c>
      <c r="H12" s="11" t="s">
        <v>141</v>
      </c>
      <c r="I12" s="20" t="s">
        <v>644</v>
      </c>
      <c r="J12" s="11" t="s">
        <v>1007</v>
      </c>
      <c r="K12" s="11" t="s">
        <v>219</v>
      </c>
    </row>
    <row r="13" spans="1:11" ht="15" customHeight="1" x14ac:dyDescent="0.35">
      <c r="A13" s="10" t="s">
        <v>1008</v>
      </c>
      <c r="B13" s="10" t="s">
        <v>609</v>
      </c>
      <c r="C13" s="10" t="s">
        <v>82</v>
      </c>
      <c r="D13" s="10" t="s">
        <v>179</v>
      </c>
      <c r="E13" s="10" t="s">
        <v>50</v>
      </c>
      <c r="F13" s="10" t="s">
        <v>177</v>
      </c>
      <c r="G13" s="10" t="s">
        <v>1009</v>
      </c>
      <c r="H13" s="10" t="s">
        <v>141</v>
      </c>
      <c r="I13" s="21" t="s">
        <v>644</v>
      </c>
      <c r="J13" s="10" t="s">
        <v>1010</v>
      </c>
      <c r="K13" s="10" t="s">
        <v>215</v>
      </c>
    </row>
    <row r="14" spans="1:11" ht="15" customHeight="1" x14ac:dyDescent="0.35">
      <c r="A14" s="11" t="s">
        <v>1011</v>
      </c>
      <c r="B14" s="11" t="s">
        <v>981</v>
      </c>
      <c r="C14" s="11" t="s">
        <v>292</v>
      </c>
      <c r="D14" s="11" t="s">
        <v>179</v>
      </c>
      <c r="E14" s="11" t="s">
        <v>294</v>
      </c>
      <c r="F14" s="11" t="s">
        <v>184</v>
      </c>
      <c r="G14" s="11" t="s">
        <v>1012</v>
      </c>
      <c r="H14" s="11" t="s">
        <v>141</v>
      </c>
      <c r="I14" s="20" t="s">
        <v>644</v>
      </c>
      <c r="J14" s="11" t="s">
        <v>1013</v>
      </c>
      <c r="K14" s="11" t="s">
        <v>215</v>
      </c>
    </row>
    <row r="15" spans="1:11" ht="15" customHeight="1" x14ac:dyDescent="0.35">
      <c r="A15" s="10" t="s">
        <v>1014</v>
      </c>
      <c r="B15" s="10" t="s">
        <v>226</v>
      </c>
      <c r="C15" s="10" t="s">
        <v>620</v>
      </c>
      <c r="D15" s="10" t="s">
        <v>186</v>
      </c>
      <c r="E15" s="10" t="s">
        <v>50</v>
      </c>
      <c r="F15" s="10" t="s">
        <v>230</v>
      </c>
      <c r="G15" s="10" t="s">
        <v>1015</v>
      </c>
      <c r="H15" s="10" t="s">
        <v>141</v>
      </c>
      <c r="I15" s="21" t="s">
        <v>1016</v>
      </c>
      <c r="J15" s="10" t="s">
        <v>1017</v>
      </c>
      <c r="K15" s="10" t="s">
        <v>215</v>
      </c>
    </row>
    <row r="16" spans="1:11" ht="15" customHeight="1" x14ac:dyDescent="0.35">
      <c r="A16" s="11" t="s">
        <v>1018</v>
      </c>
      <c r="B16" s="11" t="s">
        <v>226</v>
      </c>
      <c r="C16" s="11" t="s">
        <v>643</v>
      </c>
      <c r="D16" s="11" t="s">
        <v>179</v>
      </c>
      <c r="E16" s="11" t="s">
        <v>50</v>
      </c>
      <c r="F16" s="11" t="s">
        <v>177</v>
      </c>
      <c r="G16" s="11" t="s">
        <v>1019</v>
      </c>
      <c r="H16" s="11" t="s">
        <v>141</v>
      </c>
      <c r="I16" s="20" t="s">
        <v>644</v>
      </c>
      <c r="J16" s="11" t="s">
        <v>1020</v>
      </c>
      <c r="K16" s="11" t="s">
        <v>219</v>
      </c>
    </row>
    <row r="17" spans="1:11" ht="15" customHeight="1" x14ac:dyDescent="0.35">
      <c r="A17" s="10" t="s">
        <v>1021</v>
      </c>
      <c r="B17" s="10" t="s">
        <v>1022</v>
      </c>
      <c r="C17" s="10" t="s">
        <v>620</v>
      </c>
      <c r="D17" s="10" t="s">
        <v>192</v>
      </c>
      <c r="E17" s="10" t="s">
        <v>50</v>
      </c>
      <c r="F17" s="10" t="s">
        <v>230</v>
      </c>
      <c r="G17" s="10" t="s">
        <v>1023</v>
      </c>
      <c r="H17" s="10" t="s">
        <v>640</v>
      </c>
      <c r="I17" s="21" t="s">
        <v>644</v>
      </c>
      <c r="J17" s="10" t="s">
        <v>1024</v>
      </c>
      <c r="K17" s="10" t="s">
        <v>215</v>
      </c>
    </row>
    <row r="18" spans="1:11" ht="15" customHeight="1" x14ac:dyDescent="0.35">
      <c r="A18" s="11" t="s">
        <v>1025</v>
      </c>
      <c r="B18" s="11" t="s">
        <v>1026</v>
      </c>
      <c r="C18" s="11" t="s">
        <v>631</v>
      </c>
      <c r="D18" s="11" t="s">
        <v>201</v>
      </c>
      <c r="E18" s="11" t="s">
        <v>284</v>
      </c>
      <c r="F18" s="11" t="s">
        <v>230</v>
      </c>
      <c r="G18" s="11" t="s">
        <v>1027</v>
      </c>
      <c r="H18" s="11" t="s">
        <v>141</v>
      </c>
      <c r="I18" s="20" t="s">
        <v>644</v>
      </c>
      <c r="J18" s="11" t="s">
        <v>1028</v>
      </c>
      <c r="K18" s="11" t="s">
        <v>219</v>
      </c>
    </row>
    <row r="19" spans="1:11" ht="15" customHeight="1" x14ac:dyDescent="0.35">
      <c r="A19" s="10" t="s">
        <v>1029</v>
      </c>
      <c r="B19" s="10" t="s">
        <v>226</v>
      </c>
      <c r="C19" s="10" t="s">
        <v>620</v>
      </c>
      <c r="D19" s="10" t="s">
        <v>172</v>
      </c>
      <c r="E19" s="10" t="s">
        <v>50</v>
      </c>
      <c r="F19" s="10" t="s">
        <v>177</v>
      </c>
      <c r="G19" s="10" t="s">
        <v>1030</v>
      </c>
      <c r="H19" s="10" t="s">
        <v>141</v>
      </c>
      <c r="I19" s="21" t="s">
        <v>644</v>
      </c>
      <c r="J19" s="10" t="s">
        <v>1031</v>
      </c>
      <c r="K19" s="10" t="s">
        <v>215</v>
      </c>
    </row>
  </sheetData>
  <mergeCells count="3">
    <mergeCell ref="A1:K1"/>
    <mergeCell ref="A2:K2"/>
    <mergeCell ref="A3:K3"/>
  </mergeCells>
  <dataValidations count="1">
    <dataValidation type="list" allowBlank="1" sqref="F6:F70" xr:uid="{00000000-0002-0000-0C00-000000000000}">
      <formula1>"Not Started,Planned,In Progress,Done,Blocked"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ACC15"/>
  </sheetPr>
  <dimension ref="A1:L33"/>
  <sheetViews>
    <sheetView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24" customWidth="1"/>
    <col min="3" max="3" width="16" customWidth="1"/>
    <col min="4" max="5" width="12" customWidth="1"/>
    <col min="6" max="6" width="18" customWidth="1"/>
    <col min="7" max="7" width="14" customWidth="1"/>
    <col min="8" max="8" width="16" customWidth="1"/>
    <col min="9" max="10" width="14" customWidth="1"/>
    <col min="11" max="11" width="16" customWidth="1"/>
    <col min="12" max="12" width="28" customWidth="1"/>
  </cols>
  <sheetData>
    <row r="1" spans="1:12" ht="39.75" customHeight="1" x14ac:dyDescent="0.35">
      <c r="A1" s="7" t="s">
        <v>1032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1.75" customHeight="1" x14ac:dyDescent="0.35">
      <c r="A2" s="6" t="s">
        <v>1033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spans="1:12" ht="15" customHeight="1" x14ac:dyDescent="0.35">
      <c r="A5" s="1" t="s">
        <v>1034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3.25" customHeight="1" x14ac:dyDescent="0.35">
      <c r="A6" s="13" t="s">
        <v>1035</v>
      </c>
      <c r="B6" s="13" t="s">
        <v>237</v>
      </c>
      <c r="C6" s="13" t="s">
        <v>1036</v>
      </c>
      <c r="D6" s="13" t="s">
        <v>1037</v>
      </c>
      <c r="E6" s="13" t="s">
        <v>1038</v>
      </c>
      <c r="F6" s="13" t="s">
        <v>1039</v>
      </c>
      <c r="G6" s="13" t="s">
        <v>1040</v>
      </c>
      <c r="H6" s="13" t="s">
        <v>1041</v>
      </c>
      <c r="I6" s="13" t="s">
        <v>1042</v>
      </c>
      <c r="J6" s="13" t="s">
        <v>1043</v>
      </c>
      <c r="K6" s="13" t="s">
        <v>117</v>
      </c>
      <c r="L6" s="13" t="s">
        <v>238</v>
      </c>
    </row>
    <row r="7" spans="1:12" ht="15" customHeight="1" x14ac:dyDescent="0.35">
      <c r="A7" s="10" t="s">
        <v>1044</v>
      </c>
      <c r="B7" s="10" t="s">
        <v>254</v>
      </c>
      <c r="C7" s="10" t="s">
        <v>1045</v>
      </c>
      <c r="D7" s="10" t="s">
        <v>287</v>
      </c>
      <c r="E7" s="10" t="s">
        <v>152</v>
      </c>
      <c r="F7" s="10" t="s">
        <v>142</v>
      </c>
      <c r="G7" s="10" t="s">
        <v>587</v>
      </c>
      <c r="H7" s="10" t="s">
        <v>256</v>
      </c>
      <c r="I7" s="10" t="s">
        <v>256</v>
      </c>
      <c r="J7" s="10" t="s">
        <v>1046</v>
      </c>
      <c r="K7" s="10" t="s">
        <v>1047</v>
      </c>
      <c r="L7" s="10" t="s">
        <v>215</v>
      </c>
    </row>
    <row r="8" spans="1:12" ht="23.25" customHeight="1" x14ac:dyDescent="0.35">
      <c r="A8" s="11" t="s">
        <v>1048</v>
      </c>
      <c r="B8" s="11" t="s">
        <v>254</v>
      </c>
      <c r="C8" s="11" t="s">
        <v>1049</v>
      </c>
      <c r="D8" s="11" t="s">
        <v>126</v>
      </c>
      <c r="E8" s="11" t="s">
        <v>410</v>
      </c>
      <c r="F8" s="11" t="s">
        <v>258</v>
      </c>
      <c r="G8" s="11" t="s">
        <v>587</v>
      </c>
      <c r="H8" s="11" t="s">
        <v>256</v>
      </c>
      <c r="I8" s="11" t="s">
        <v>141</v>
      </c>
      <c r="J8" s="11" t="s">
        <v>1050</v>
      </c>
      <c r="K8" s="11" t="s">
        <v>1051</v>
      </c>
      <c r="L8" s="11" t="s">
        <v>215</v>
      </c>
    </row>
    <row r="9" spans="1:12" ht="15" customHeight="1" x14ac:dyDescent="0.35">
      <c r="A9" s="10" t="s">
        <v>1052</v>
      </c>
      <c r="B9" s="10" t="s">
        <v>307</v>
      </c>
      <c r="C9" s="10" t="s">
        <v>1053</v>
      </c>
      <c r="D9" s="10" t="s">
        <v>155</v>
      </c>
      <c r="E9" s="10" t="s">
        <v>142</v>
      </c>
      <c r="F9" s="10" t="s">
        <v>587</v>
      </c>
      <c r="G9" s="10" t="s">
        <v>256</v>
      </c>
      <c r="H9" s="10" t="s">
        <v>141</v>
      </c>
      <c r="I9" s="10" t="s">
        <v>141</v>
      </c>
      <c r="J9" s="10" t="s">
        <v>1054</v>
      </c>
      <c r="K9" s="10" t="s">
        <v>1051</v>
      </c>
      <c r="L9" s="10" t="s">
        <v>228</v>
      </c>
    </row>
    <row r="10" spans="1:12" ht="15" customHeight="1" x14ac:dyDescent="0.35">
      <c r="A10" s="11" t="s">
        <v>1055</v>
      </c>
      <c r="B10" s="11" t="s">
        <v>264</v>
      </c>
      <c r="C10" s="11" t="s">
        <v>1056</v>
      </c>
      <c r="D10" s="11" t="s">
        <v>521</v>
      </c>
      <c r="E10" s="11" t="s">
        <v>152</v>
      </c>
      <c r="F10" s="11" t="s">
        <v>142</v>
      </c>
      <c r="G10" s="11" t="s">
        <v>256</v>
      </c>
      <c r="H10" s="11" t="s">
        <v>141</v>
      </c>
      <c r="I10" s="11" t="s">
        <v>141</v>
      </c>
      <c r="J10" s="11" t="s">
        <v>1057</v>
      </c>
      <c r="K10" s="11" t="s">
        <v>1051</v>
      </c>
      <c r="L10" s="11" t="s">
        <v>215</v>
      </c>
    </row>
    <row r="11" spans="1:12" ht="15" customHeight="1" x14ac:dyDescent="0.35">
      <c r="A11" s="10" t="s">
        <v>1058</v>
      </c>
      <c r="B11" s="10" t="s">
        <v>880</v>
      </c>
      <c r="C11" s="10" t="s">
        <v>1059</v>
      </c>
      <c r="D11" s="10" t="s">
        <v>278</v>
      </c>
      <c r="E11" s="10" t="s">
        <v>410</v>
      </c>
      <c r="F11" s="10" t="s">
        <v>142</v>
      </c>
      <c r="G11" s="10" t="s">
        <v>587</v>
      </c>
      <c r="H11" s="10" t="s">
        <v>256</v>
      </c>
      <c r="I11" s="10" t="s">
        <v>141</v>
      </c>
      <c r="J11" s="10" t="s">
        <v>1060</v>
      </c>
      <c r="K11" s="10" t="s">
        <v>1061</v>
      </c>
      <c r="L11" s="10" t="s">
        <v>215</v>
      </c>
    </row>
    <row r="12" spans="1:12" ht="15" customHeight="1" x14ac:dyDescent="0.35">
      <c r="A12" s="11" t="s">
        <v>1062</v>
      </c>
      <c r="B12" s="11" t="s">
        <v>1063</v>
      </c>
      <c r="C12" s="11" t="s">
        <v>1064</v>
      </c>
      <c r="D12" s="11" t="s">
        <v>299</v>
      </c>
      <c r="E12" s="11" t="s">
        <v>142</v>
      </c>
      <c r="F12" s="11" t="s">
        <v>587</v>
      </c>
      <c r="G12" s="11" t="s">
        <v>141</v>
      </c>
      <c r="H12" s="11" t="s">
        <v>141</v>
      </c>
      <c r="I12" s="11" t="s">
        <v>141</v>
      </c>
      <c r="J12" s="11" t="s">
        <v>1065</v>
      </c>
      <c r="K12" s="11" t="s">
        <v>1066</v>
      </c>
      <c r="L12" s="11" t="s">
        <v>219</v>
      </c>
    </row>
    <row r="13" spans="1:12" ht="15" customHeight="1" x14ac:dyDescent="0.35">
      <c r="A13" s="10" t="s">
        <v>1067</v>
      </c>
      <c r="B13" s="10" t="s">
        <v>254</v>
      </c>
      <c r="C13" s="10" t="s">
        <v>1068</v>
      </c>
      <c r="D13" s="10" t="s">
        <v>152</v>
      </c>
      <c r="E13" s="10" t="s">
        <v>587</v>
      </c>
      <c r="F13" s="10" t="s">
        <v>256</v>
      </c>
      <c r="G13" s="10" t="s">
        <v>141</v>
      </c>
      <c r="H13" s="10" t="s">
        <v>141</v>
      </c>
      <c r="I13" s="10" t="s">
        <v>141</v>
      </c>
      <c r="J13" s="10" t="s">
        <v>483</v>
      </c>
      <c r="K13" s="10" t="s">
        <v>1066</v>
      </c>
      <c r="L13" s="10" t="s">
        <v>219</v>
      </c>
    </row>
    <row r="14" spans="1:12" ht="15" customHeight="1" x14ac:dyDescent="0.35">
      <c r="A14" s="11" t="s">
        <v>1069</v>
      </c>
      <c r="B14" s="11" t="s">
        <v>1070</v>
      </c>
      <c r="C14" s="11" t="s">
        <v>1071</v>
      </c>
      <c r="D14" s="11" t="s">
        <v>534</v>
      </c>
      <c r="E14" s="11" t="s">
        <v>155</v>
      </c>
      <c r="F14" s="11" t="s">
        <v>141</v>
      </c>
      <c r="G14" s="11" t="s">
        <v>141</v>
      </c>
      <c r="H14" s="11" t="s">
        <v>141</v>
      </c>
      <c r="I14" s="11" t="s">
        <v>141</v>
      </c>
      <c r="J14" s="11" t="s">
        <v>311</v>
      </c>
      <c r="K14" s="11" t="s">
        <v>1066</v>
      </c>
      <c r="L14" s="11" t="s">
        <v>227</v>
      </c>
    </row>
    <row r="17" spans="1:12" ht="15" customHeight="1" x14ac:dyDescent="0.35">
      <c r="A17" s="1" t="s">
        <v>1072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customHeight="1" x14ac:dyDescent="0.35">
      <c r="A18" s="13" t="s">
        <v>1073</v>
      </c>
      <c r="B18" s="13" t="s">
        <v>1035</v>
      </c>
      <c r="C18" s="13" t="s">
        <v>1074</v>
      </c>
      <c r="D18" s="13" t="s">
        <v>1075</v>
      </c>
      <c r="E18" s="13" t="s">
        <v>1076</v>
      </c>
      <c r="F18" s="13" t="s">
        <v>1077</v>
      </c>
      <c r="G18" s="13" t="s">
        <v>1078</v>
      </c>
      <c r="H18" s="13" t="s">
        <v>1079</v>
      </c>
      <c r="I18" s="13" t="s">
        <v>1080</v>
      </c>
      <c r="J18" s="13" t="s">
        <v>117</v>
      </c>
      <c r="K18" s="13" t="s">
        <v>1081</v>
      </c>
      <c r="L18" s="13" t="s">
        <v>118</v>
      </c>
    </row>
    <row r="19" spans="1:12" ht="23.25" customHeight="1" x14ac:dyDescent="0.35">
      <c r="A19" s="10" t="s">
        <v>1082</v>
      </c>
      <c r="B19" s="10" t="s">
        <v>1083</v>
      </c>
      <c r="C19" s="10" t="s">
        <v>1084</v>
      </c>
      <c r="D19" s="10" t="s">
        <v>1085</v>
      </c>
      <c r="E19" s="10" t="s">
        <v>1086</v>
      </c>
      <c r="F19" s="10" t="s">
        <v>1087</v>
      </c>
      <c r="G19" s="10" t="s">
        <v>1088</v>
      </c>
      <c r="H19" s="10" t="s">
        <v>1089</v>
      </c>
      <c r="I19" s="10" t="s">
        <v>1090</v>
      </c>
      <c r="J19" s="10" t="s">
        <v>1091</v>
      </c>
      <c r="K19" s="10" t="s">
        <v>474</v>
      </c>
      <c r="L19" s="10" t="s">
        <v>1092</v>
      </c>
    </row>
    <row r="20" spans="1:12" ht="23.25" customHeight="1" x14ac:dyDescent="0.35">
      <c r="A20" s="11" t="s">
        <v>1093</v>
      </c>
      <c r="B20" s="11" t="s">
        <v>1094</v>
      </c>
      <c r="C20" s="11" t="s">
        <v>1095</v>
      </c>
      <c r="D20" s="11" t="s">
        <v>1096</v>
      </c>
      <c r="E20" s="11" t="s">
        <v>1097</v>
      </c>
      <c r="F20" s="11" t="s">
        <v>1040</v>
      </c>
      <c r="G20" s="11" t="s">
        <v>1098</v>
      </c>
      <c r="H20" s="11" t="s">
        <v>1099</v>
      </c>
      <c r="I20" s="11" t="s">
        <v>1100</v>
      </c>
      <c r="J20" s="11" t="s">
        <v>1101</v>
      </c>
      <c r="K20" s="11"/>
      <c r="L20" s="11" t="s">
        <v>1102</v>
      </c>
    </row>
    <row r="21" spans="1:12" ht="23.25" customHeight="1" x14ac:dyDescent="0.35">
      <c r="A21" s="10" t="s">
        <v>1103</v>
      </c>
      <c r="B21" s="10" t="s">
        <v>1052</v>
      </c>
      <c r="C21" s="10" t="s">
        <v>1104</v>
      </c>
      <c r="D21" s="10" t="s">
        <v>1105</v>
      </c>
      <c r="E21" s="10" t="s">
        <v>1106</v>
      </c>
      <c r="F21" s="10" t="s">
        <v>1039</v>
      </c>
      <c r="G21" s="10" t="s">
        <v>1107</v>
      </c>
      <c r="H21" s="10" t="s">
        <v>1108</v>
      </c>
      <c r="I21" s="10" t="s">
        <v>1109</v>
      </c>
      <c r="J21" s="10" t="s">
        <v>1039</v>
      </c>
      <c r="K21" s="10"/>
      <c r="L21" s="10" t="s">
        <v>1110</v>
      </c>
    </row>
    <row r="22" spans="1:12" ht="23.25" customHeight="1" x14ac:dyDescent="0.35">
      <c r="A22" s="11" t="s">
        <v>1111</v>
      </c>
      <c r="B22" s="11" t="s">
        <v>1112</v>
      </c>
      <c r="C22" s="11" t="s">
        <v>1113</v>
      </c>
      <c r="D22" s="11" t="s">
        <v>1114</v>
      </c>
      <c r="E22" s="11" t="s">
        <v>1115</v>
      </c>
      <c r="F22" s="11" t="s">
        <v>1040</v>
      </c>
      <c r="G22" s="11" t="s">
        <v>1116</v>
      </c>
      <c r="H22" s="11" t="s">
        <v>1089</v>
      </c>
      <c r="I22" s="11" t="s">
        <v>1090</v>
      </c>
      <c r="J22" s="11" t="s">
        <v>1101</v>
      </c>
      <c r="K22" s="11"/>
      <c r="L22" s="11" t="s">
        <v>1117</v>
      </c>
    </row>
    <row r="23" spans="1:12" ht="23.25" customHeight="1" x14ac:dyDescent="0.35">
      <c r="A23" s="10" t="s">
        <v>1118</v>
      </c>
      <c r="B23" s="10" t="s">
        <v>1119</v>
      </c>
      <c r="C23" s="10" t="s">
        <v>1120</v>
      </c>
      <c r="D23" s="10" t="s">
        <v>1121</v>
      </c>
      <c r="E23" s="10" t="s">
        <v>619</v>
      </c>
      <c r="F23" s="10" t="s">
        <v>1087</v>
      </c>
      <c r="G23" s="10" t="s">
        <v>1122</v>
      </c>
      <c r="H23" s="10" t="s">
        <v>1123</v>
      </c>
      <c r="I23" s="10" t="s">
        <v>1124</v>
      </c>
      <c r="J23" s="10" t="s">
        <v>1125</v>
      </c>
      <c r="K23" s="10"/>
      <c r="L23" s="10" t="s">
        <v>1126</v>
      </c>
    </row>
    <row r="24" spans="1:12" ht="23.25" customHeight="1" x14ac:dyDescent="0.35">
      <c r="A24" s="11" t="s">
        <v>1127</v>
      </c>
      <c r="B24" s="11" t="s">
        <v>1052</v>
      </c>
      <c r="C24" s="11" t="s">
        <v>1128</v>
      </c>
      <c r="D24" s="11" t="s">
        <v>1129</v>
      </c>
      <c r="E24" s="11" t="s">
        <v>1130</v>
      </c>
      <c r="F24" s="11" t="s">
        <v>1038</v>
      </c>
      <c r="G24" s="11" t="s">
        <v>1131</v>
      </c>
      <c r="H24" s="11" t="s">
        <v>1132</v>
      </c>
      <c r="I24" s="11" t="s">
        <v>1133</v>
      </c>
      <c r="J24" s="11" t="s">
        <v>1038</v>
      </c>
      <c r="K24" s="11"/>
      <c r="L24" s="11" t="s">
        <v>1134</v>
      </c>
    </row>
    <row r="25" spans="1:12" ht="23.25" customHeight="1" x14ac:dyDescent="0.35">
      <c r="A25" s="10" t="s">
        <v>1135</v>
      </c>
      <c r="B25" s="10" t="s">
        <v>1094</v>
      </c>
      <c r="C25" s="10" t="s">
        <v>1136</v>
      </c>
      <c r="D25" s="10" t="s">
        <v>1137</v>
      </c>
      <c r="E25" s="10" t="s">
        <v>667</v>
      </c>
      <c r="F25" s="10" t="s">
        <v>1138</v>
      </c>
      <c r="G25" s="10" t="s">
        <v>483</v>
      </c>
      <c r="H25" s="10" t="s">
        <v>1139</v>
      </c>
      <c r="I25" s="10" t="s">
        <v>1100</v>
      </c>
      <c r="J25" s="10" t="s">
        <v>1138</v>
      </c>
      <c r="K25" s="10"/>
      <c r="L25" s="10" t="s">
        <v>1140</v>
      </c>
    </row>
    <row r="27" spans="1:12" ht="15" customHeight="1" x14ac:dyDescent="0.35">
      <c r="A27" s="1" t="s">
        <v>1141</v>
      </c>
      <c r="B27" s="1"/>
      <c r="C27" s="1"/>
      <c r="D27" s="1"/>
    </row>
    <row r="28" spans="1:12" ht="15" customHeight="1" x14ac:dyDescent="0.35">
      <c r="A28" s="12" t="s">
        <v>1142</v>
      </c>
      <c r="B28" s="18">
        <f>IFERROR(SUM(D7:D14),0)</f>
        <v>0</v>
      </c>
    </row>
    <row r="29" spans="1:12" ht="15" customHeight="1" x14ac:dyDescent="0.35">
      <c r="A29" s="12" t="s">
        <v>1143</v>
      </c>
      <c r="B29" s="18">
        <f>IFERROR(SUM(I7:I14),0)</f>
        <v>0</v>
      </c>
    </row>
    <row r="30" spans="1:12" ht="15" customHeight="1" x14ac:dyDescent="0.35">
      <c r="A30" s="12" t="s">
        <v>1144</v>
      </c>
      <c r="B30" s="19">
        <f>IFERROR(SUM(I7:I14),0)</f>
        <v>0</v>
      </c>
    </row>
    <row r="31" spans="1:12" ht="15" customHeight="1" x14ac:dyDescent="0.35">
      <c r="A31" s="12" t="s">
        <v>1145</v>
      </c>
      <c r="B31" s="18">
        <f>IFERROR(AVERAGEIF(F19:F40,"Technical",E19:E40),0)</f>
        <v>0</v>
      </c>
    </row>
    <row r="32" spans="1:12" ht="15" customHeight="1" x14ac:dyDescent="0.35">
      <c r="A32" s="12" t="s">
        <v>1146</v>
      </c>
      <c r="B32" s="18">
        <f>IFERROR(COUNTIF(K7:K14,"Sourcing")+COUNTIF(K7:K14,"Interviewing"),0)</f>
        <v>6</v>
      </c>
    </row>
    <row r="33" spans="1:2" ht="15" customHeight="1" x14ac:dyDescent="0.35">
      <c r="A33" s="12" t="s">
        <v>1147</v>
      </c>
      <c r="B33" s="18">
        <f>IFERROR(SUM(J7:J14),0)</f>
        <v>0</v>
      </c>
    </row>
  </sheetData>
  <mergeCells count="6">
    <mergeCell ref="A27:D27"/>
    <mergeCell ref="A1:L1"/>
    <mergeCell ref="A2:L2"/>
    <mergeCell ref="A3:L3"/>
    <mergeCell ref="A5:L5"/>
    <mergeCell ref="A17:L17"/>
  </mergeCells>
  <dataValidations count="2">
    <dataValidation type="list" allowBlank="1" sqref="J19:J97" xr:uid="{00000000-0002-0000-0D00-000000000000}">
      <formula1>"Applied,Phone Screen,Technical,Final,Offer Sent,Offer Accepted,Offer Rejected,Rejected,Withdrawn"</formula1>
      <formula2>0</formula2>
    </dataValidation>
    <dataValidation type="list" allowBlank="1" sqref="F19:F97" xr:uid="{00000000-0002-0000-0D00-000001000000}">
      <formula1>"Applied,Phone Screen,Technical,Final,Offer,Rejected,Withdrawn"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97316"/>
  </sheetPr>
  <dimension ref="A1:P24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4" customWidth="1"/>
    <col min="2" max="2" width="22" customWidth="1"/>
    <col min="3" max="4" width="18" customWidth="1"/>
    <col min="5" max="5" width="12" customWidth="1"/>
    <col min="6" max="6" width="16" customWidth="1"/>
    <col min="7" max="7" width="12" customWidth="1"/>
    <col min="8" max="8" width="26" customWidth="1"/>
    <col min="9" max="9" width="22" customWidth="1"/>
    <col min="10" max="12" width="14" customWidth="1"/>
    <col min="13" max="13" width="20" customWidth="1"/>
    <col min="14" max="14" width="12" customWidth="1"/>
    <col min="15" max="15" width="20" customWidth="1"/>
    <col min="16" max="16" width="30" customWidth="1"/>
  </cols>
  <sheetData>
    <row r="1" spans="1:16" ht="39.75" customHeight="1" x14ac:dyDescent="0.35">
      <c r="A1" s="7" t="s">
        <v>1148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6" ht="21.75" customHeight="1" x14ac:dyDescent="0.35">
      <c r="A2" s="6" t="s">
        <v>1149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6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spans="1:16" ht="15" customHeight="1" x14ac:dyDescent="0.35">
      <c r="A5" s="13" t="s">
        <v>1150</v>
      </c>
      <c r="B5" s="13" t="s">
        <v>1151</v>
      </c>
      <c r="C5" s="13" t="s">
        <v>1152</v>
      </c>
      <c r="D5" s="13" t="s">
        <v>1153</v>
      </c>
      <c r="E5" s="13" t="s">
        <v>13</v>
      </c>
      <c r="F5" s="13" t="s">
        <v>1154</v>
      </c>
      <c r="G5" s="13" t="s">
        <v>1155</v>
      </c>
      <c r="H5" s="13" t="s">
        <v>1156</v>
      </c>
      <c r="I5" s="13" t="s">
        <v>1084</v>
      </c>
      <c r="J5" s="13" t="s">
        <v>1157</v>
      </c>
      <c r="K5" s="13" t="s">
        <v>1158</v>
      </c>
      <c r="L5" s="13" t="s">
        <v>1159</v>
      </c>
      <c r="M5" s="13" t="s">
        <v>1160</v>
      </c>
      <c r="N5" s="13" t="s">
        <v>1161</v>
      </c>
      <c r="O5" s="13" t="s">
        <v>1162</v>
      </c>
      <c r="P5" s="13" t="s">
        <v>118</v>
      </c>
    </row>
    <row r="6" spans="1:16" ht="23.25" customHeight="1" x14ac:dyDescent="0.35">
      <c r="A6" s="11" t="s">
        <v>256</v>
      </c>
      <c r="B6" s="11" t="s">
        <v>1163</v>
      </c>
      <c r="C6" s="11" t="s">
        <v>1164</v>
      </c>
      <c r="D6" s="11" t="s">
        <v>1165</v>
      </c>
      <c r="E6" s="11" t="s">
        <v>1166</v>
      </c>
      <c r="F6" s="11" t="s">
        <v>1167</v>
      </c>
      <c r="G6" s="11" t="s">
        <v>377</v>
      </c>
      <c r="H6" s="11" t="s">
        <v>1168</v>
      </c>
      <c r="I6" s="11" t="s">
        <v>1169</v>
      </c>
      <c r="J6" s="11" t="s">
        <v>286</v>
      </c>
      <c r="K6" s="11" t="s">
        <v>1170</v>
      </c>
      <c r="L6" s="11" t="s">
        <v>215</v>
      </c>
      <c r="M6" s="11" t="s">
        <v>1171</v>
      </c>
      <c r="N6" s="11" t="s">
        <v>377</v>
      </c>
      <c r="O6" s="11" t="s">
        <v>1172</v>
      </c>
      <c r="P6" s="11" t="s">
        <v>1173</v>
      </c>
    </row>
    <row r="7" spans="1:16" ht="15" customHeight="1" x14ac:dyDescent="0.35">
      <c r="A7" s="10" t="s">
        <v>587</v>
      </c>
      <c r="B7" s="10" t="s">
        <v>1174</v>
      </c>
      <c r="C7" s="10" t="s">
        <v>1175</v>
      </c>
      <c r="D7" s="10" t="s">
        <v>1176</v>
      </c>
      <c r="E7" s="10" t="s">
        <v>1177</v>
      </c>
      <c r="F7" s="10" t="s">
        <v>1178</v>
      </c>
      <c r="G7" s="10" t="s">
        <v>397</v>
      </c>
      <c r="H7" s="10" t="s">
        <v>1179</v>
      </c>
      <c r="I7" s="10" t="s">
        <v>1180</v>
      </c>
      <c r="J7" s="10" t="s">
        <v>181</v>
      </c>
      <c r="K7" s="10" t="s">
        <v>1181</v>
      </c>
      <c r="L7" s="10" t="s">
        <v>219</v>
      </c>
      <c r="M7" s="10" t="s">
        <v>1182</v>
      </c>
      <c r="N7" s="10" t="s">
        <v>377</v>
      </c>
      <c r="O7" s="10" t="s">
        <v>1183</v>
      </c>
      <c r="P7" s="10" t="s">
        <v>1184</v>
      </c>
    </row>
    <row r="8" spans="1:16" ht="15" customHeight="1" x14ac:dyDescent="0.35">
      <c r="A8" s="11" t="s">
        <v>142</v>
      </c>
      <c r="B8" s="11" t="s">
        <v>1185</v>
      </c>
      <c r="C8" s="11" t="s">
        <v>1175</v>
      </c>
      <c r="D8" s="11" t="s">
        <v>1186</v>
      </c>
      <c r="E8" s="11" t="s">
        <v>1187</v>
      </c>
      <c r="F8" s="11" t="s">
        <v>1120</v>
      </c>
      <c r="G8" s="11" t="s">
        <v>377</v>
      </c>
      <c r="H8" s="11" t="s">
        <v>1188</v>
      </c>
      <c r="I8" s="11" t="s">
        <v>1189</v>
      </c>
      <c r="J8" s="11" t="s">
        <v>691</v>
      </c>
      <c r="K8" s="11" t="s">
        <v>1190</v>
      </c>
      <c r="L8" s="11" t="s">
        <v>219</v>
      </c>
      <c r="M8" s="11" t="s">
        <v>1191</v>
      </c>
      <c r="N8" s="11" t="s">
        <v>377</v>
      </c>
      <c r="O8" s="11" t="s">
        <v>1192</v>
      </c>
      <c r="P8" s="11" t="s">
        <v>1193</v>
      </c>
    </row>
    <row r="9" spans="1:16" ht="15" customHeight="1" x14ac:dyDescent="0.35">
      <c r="A9" s="10" t="s">
        <v>258</v>
      </c>
      <c r="B9" s="10" t="s">
        <v>1194</v>
      </c>
      <c r="C9" s="10" t="s">
        <v>1195</v>
      </c>
      <c r="D9" s="10" t="s">
        <v>1196</v>
      </c>
      <c r="E9" s="10" t="s">
        <v>1177</v>
      </c>
      <c r="F9" s="10" t="s">
        <v>1084</v>
      </c>
      <c r="G9" s="10" t="s">
        <v>397</v>
      </c>
      <c r="H9" s="10" t="s">
        <v>1197</v>
      </c>
      <c r="I9" s="10" t="s">
        <v>1198</v>
      </c>
      <c r="J9" s="10" t="s">
        <v>323</v>
      </c>
      <c r="K9" s="10" t="s">
        <v>182</v>
      </c>
      <c r="L9" s="10" t="s">
        <v>227</v>
      </c>
      <c r="M9" s="10" t="s">
        <v>1199</v>
      </c>
      <c r="N9" s="10" t="s">
        <v>377</v>
      </c>
      <c r="O9" s="10" t="s">
        <v>1200</v>
      </c>
      <c r="P9" s="10" t="s">
        <v>1201</v>
      </c>
    </row>
    <row r="10" spans="1:16" ht="15" customHeight="1" x14ac:dyDescent="0.35">
      <c r="A10" s="11" t="s">
        <v>152</v>
      </c>
      <c r="B10" s="11" t="s">
        <v>1202</v>
      </c>
      <c r="C10" s="11" t="s">
        <v>1203</v>
      </c>
      <c r="D10" s="11" t="s">
        <v>307</v>
      </c>
      <c r="E10" s="11" t="s">
        <v>1177</v>
      </c>
      <c r="F10" s="11" t="s">
        <v>1204</v>
      </c>
      <c r="G10" s="11" t="s">
        <v>377</v>
      </c>
      <c r="H10" s="11" t="s">
        <v>1205</v>
      </c>
      <c r="I10" s="11" t="s">
        <v>1206</v>
      </c>
      <c r="J10" s="11" t="s">
        <v>303</v>
      </c>
      <c r="K10" s="11" t="s">
        <v>474</v>
      </c>
      <c r="L10" s="11" t="s">
        <v>215</v>
      </c>
      <c r="M10" s="11" t="s">
        <v>1207</v>
      </c>
      <c r="N10" s="11" t="s">
        <v>377</v>
      </c>
      <c r="O10" s="11" t="s">
        <v>1208</v>
      </c>
      <c r="P10" s="11" t="s">
        <v>1209</v>
      </c>
    </row>
    <row r="11" spans="1:16" ht="15" customHeight="1" x14ac:dyDescent="0.35">
      <c r="A11" s="10" t="s">
        <v>410</v>
      </c>
      <c r="B11" s="10" t="s">
        <v>1210</v>
      </c>
      <c r="C11" s="10" t="s">
        <v>1211</v>
      </c>
      <c r="D11" s="10" t="s">
        <v>1165</v>
      </c>
      <c r="E11" s="10" t="s">
        <v>1212</v>
      </c>
      <c r="F11" s="10" t="s">
        <v>1213</v>
      </c>
      <c r="G11" s="10" t="s">
        <v>377</v>
      </c>
      <c r="H11" s="10" t="s">
        <v>1214</v>
      </c>
      <c r="I11" s="10" t="s">
        <v>1215</v>
      </c>
      <c r="J11" s="10" t="s">
        <v>713</v>
      </c>
      <c r="K11" s="10" t="s">
        <v>1216</v>
      </c>
      <c r="L11" s="10" t="s">
        <v>215</v>
      </c>
      <c r="M11" s="10" t="s">
        <v>1217</v>
      </c>
      <c r="N11" s="10" t="s">
        <v>377</v>
      </c>
      <c r="O11" s="10" t="s">
        <v>1218</v>
      </c>
      <c r="P11" s="10" t="s">
        <v>1219</v>
      </c>
    </row>
    <row r="12" spans="1:16" ht="15" customHeight="1" x14ac:dyDescent="0.35">
      <c r="A12" s="11" t="s">
        <v>387</v>
      </c>
      <c r="B12" s="11" t="s">
        <v>1220</v>
      </c>
      <c r="C12" s="11" t="s">
        <v>1221</v>
      </c>
      <c r="D12" s="11" t="s">
        <v>1196</v>
      </c>
      <c r="E12" s="11" t="s">
        <v>1187</v>
      </c>
      <c r="F12" s="11" t="s">
        <v>1222</v>
      </c>
      <c r="G12" s="11" t="s">
        <v>397</v>
      </c>
      <c r="H12" s="11" t="s">
        <v>1223</v>
      </c>
      <c r="I12" s="11" t="s">
        <v>1224</v>
      </c>
      <c r="J12" s="11"/>
      <c r="K12" s="11" t="s">
        <v>443</v>
      </c>
      <c r="L12" s="11" t="s">
        <v>227</v>
      </c>
      <c r="M12" s="11" t="s">
        <v>1225</v>
      </c>
      <c r="N12" s="11" t="s">
        <v>397</v>
      </c>
      <c r="O12" s="11" t="s">
        <v>1226</v>
      </c>
      <c r="P12" s="11" t="s">
        <v>1227</v>
      </c>
    </row>
    <row r="13" spans="1:16" ht="15" customHeight="1" x14ac:dyDescent="0.35">
      <c r="A13" s="10" t="s">
        <v>155</v>
      </c>
      <c r="B13" s="10" t="s">
        <v>1228</v>
      </c>
      <c r="C13" s="10" t="s">
        <v>1229</v>
      </c>
      <c r="D13" s="10" t="s">
        <v>1230</v>
      </c>
      <c r="E13" s="10" t="s">
        <v>1231</v>
      </c>
      <c r="F13" s="10" t="s">
        <v>1232</v>
      </c>
      <c r="G13" s="10" t="s">
        <v>397</v>
      </c>
      <c r="H13" s="10" t="s">
        <v>1233</v>
      </c>
      <c r="I13" s="10" t="s">
        <v>1234</v>
      </c>
      <c r="J13" s="10" t="s">
        <v>266</v>
      </c>
      <c r="K13" s="10" t="s">
        <v>286</v>
      </c>
      <c r="L13" s="10" t="s">
        <v>219</v>
      </c>
      <c r="M13" s="10" t="s">
        <v>1235</v>
      </c>
      <c r="N13" s="10" t="s">
        <v>377</v>
      </c>
      <c r="O13" s="10" t="s">
        <v>1192</v>
      </c>
      <c r="P13" s="10" t="s">
        <v>1236</v>
      </c>
    </row>
    <row r="14" spans="1:16" ht="15" customHeight="1" x14ac:dyDescent="0.35">
      <c r="A14" s="11" t="s">
        <v>392</v>
      </c>
      <c r="B14" s="11" t="s">
        <v>1237</v>
      </c>
      <c r="C14" s="11" t="s">
        <v>1238</v>
      </c>
      <c r="D14" s="11" t="s">
        <v>1186</v>
      </c>
      <c r="E14" s="11" t="s">
        <v>1177</v>
      </c>
      <c r="F14" s="11" t="s">
        <v>1239</v>
      </c>
      <c r="G14" s="11" t="s">
        <v>377</v>
      </c>
      <c r="H14" s="11" t="s">
        <v>1240</v>
      </c>
      <c r="I14" s="11" t="s">
        <v>1241</v>
      </c>
      <c r="J14" s="11" t="s">
        <v>339</v>
      </c>
      <c r="K14" s="11" t="s">
        <v>332</v>
      </c>
      <c r="L14" s="11" t="s">
        <v>215</v>
      </c>
      <c r="M14" s="11" t="s">
        <v>1242</v>
      </c>
      <c r="N14" s="11" t="s">
        <v>377</v>
      </c>
      <c r="O14" s="11" t="s">
        <v>1243</v>
      </c>
      <c r="P14" s="11" t="s">
        <v>1244</v>
      </c>
    </row>
    <row r="15" spans="1:16" ht="15" customHeight="1" x14ac:dyDescent="0.35">
      <c r="A15" s="10" t="s">
        <v>299</v>
      </c>
      <c r="B15" s="10" t="s">
        <v>1245</v>
      </c>
      <c r="C15" s="10" t="s">
        <v>1246</v>
      </c>
      <c r="D15" s="10" t="s">
        <v>1186</v>
      </c>
      <c r="E15" s="10" t="s">
        <v>1212</v>
      </c>
      <c r="F15" s="10" t="s">
        <v>1247</v>
      </c>
      <c r="G15" s="10" t="s">
        <v>397</v>
      </c>
      <c r="H15" s="10" t="s">
        <v>1248</v>
      </c>
      <c r="I15" s="10" t="s">
        <v>1249</v>
      </c>
      <c r="J15" s="10" t="s">
        <v>1250</v>
      </c>
      <c r="K15" s="10" t="s">
        <v>303</v>
      </c>
      <c r="L15" s="10" t="s">
        <v>219</v>
      </c>
      <c r="M15" s="10" t="s">
        <v>1251</v>
      </c>
      <c r="N15" s="10" t="s">
        <v>377</v>
      </c>
      <c r="O15" s="10" t="s">
        <v>1183</v>
      </c>
      <c r="P15" s="10" t="s">
        <v>1252</v>
      </c>
    </row>
    <row r="17" spans="1:4" ht="15" customHeight="1" x14ac:dyDescent="0.35">
      <c r="A17" s="1" t="s">
        <v>1253</v>
      </c>
      <c r="B17" s="1"/>
      <c r="C17" s="1"/>
      <c r="D17" s="1"/>
    </row>
    <row r="18" spans="1:4" ht="15" customHeight="1" x14ac:dyDescent="0.35">
      <c r="A18" s="12" t="s">
        <v>1254</v>
      </c>
      <c r="B18" s="18" t="s">
        <v>1255</v>
      </c>
    </row>
    <row r="19" spans="1:4" ht="15" customHeight="1" x14ac:dyDescent="0.35">
      <c r="A19" s="12" t="s">
        <v>1256</v>
      </c>
      <c r="B19" s="18" t="s">
        <v>141</v>
      </c>
    </row>
    <row r="20" spans="1:4" ht="15" customHeight="1" x14ac:dyDescent="0.35">
      <c r="A20" s="12" t="s">
        <v>1257</v>
      </c>
      <c r="B20" s="18">
        <f>COUNTA(B6:B16)</f>
        <v>10</v>
      </c>
    </row>
    <row r="21" spans="1:4" ht="15" customHeight="1" x14ac:dyDescent="0.35">
      <c r="A21" s="12" t="s">
        <v>1258</v>
      </c>
      <c r="B21" s="18">
        <f>COUNTIF(L6:L16,"High")+COUNTIF(L6:L16,"Hot")</f>
        <v>4</v>
      </c>
    </row>
    <row r="22" spans="1:4" ht="15" customHeight="1" x14ac:dyDescent="0.35">
      <c r="A22" s="12" t="s">
        <v>1259</v>
      </c>
      <c r="B22" s="18">
        <f>COUNTIF(O6:O16,"Term Sheet Pending")</f>
        <v>1</v>
      </c>
    </row>
    <row r="23" spans="1:4" ht="15" customHeight="1" x14ac:dyDescent="0.35">
      <c r="A23" s="12" t="s">
        <v>1243</v>
      </c>
      <c r="B23" s="18">
        <f>COUNTIF(O6:O16,"Due Diligence")</f>
        <v>1</v>
      </c>
    </row>
    <row r="24" spans="1:4" ht="15" customHeight="1" x14ac:dyDescent="0.35">
      <c r="A24" s="12" t="s">
        <v>1260</v>
      </c>
      <c r="B24" s="18">
        <f>COUNTIF(O6:O16,"Closed Won")</f>
        <v>0</v>
      </c>
    </row>
  </sheetData>
  <mergeCells count="4">
    <mergeCell ref="A1:O1"/>
    <mergeCell ref="A2:O2"/>
    <mergeCell ref="A3:O3"/>
    <mergeCell ref="A17:D17"/>
  </mergeCells>
  <dataValidations count="3">
    <dataValidation type="list" allowBlank="1" sqref="L6:L60" xr:uid="{00000000-0002-0000-0E00-000000000000}">
      <formula1>"Hot,High,Medium,Low,No Interest"</formula1>
      <formula2>0</formula2>
    </dataValidation>
    <dataValidation type="list" allowBlank="1" sqref="O6:O60" xr:uid="{00000000-0002-0000-0E00-000001000000}">
      <formula1>"Pipeline,Cold,Warm Lead,Interested,Hot Lead,Due Diligence,Term Sheet Pending,Closed Won,Closed Lost,Passed"</formula1>
      <formula2>0</formula2>
    </dataValidation>
    <dataValidation type="list" allowBlank="1" sqref="M6:M60" xr:uid="{00000000-0002-0000-0E00-000002000000}">
      <formula1>"Not Contacted,Cold Email,DM Responded,Intro Call,1st Meeting,2nd Meeting,Partner Meeting,DD Started,Term Sheet"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97316"/>
  </sheetPr>
  <dimension ref="A1:J17"/>
  <sheetViews>
    <sheetView zoomScaleNormal="100" workbookViewId="0"/>
  </sheetViews>
  <sheetFormatPr defaultColWidth="8.6328125" defaultRowHeight="14.5" x14ac:dyDescent="0.35"/>
  <cols>
    <col min="1" max="1" width="24" customWidth="1"/>
    <col min="2" max="2" width="10" customWidth="1"/>
    <col min="3" max="3" width="18" customWidth="1"/>
    <col min="4" max="5" width="16" customWidth="1"/>
    <col min="6" max="6" width="24" customWidth="1"/>
    <col min="7" max="8" width="20" customWidth="1"/>
    <col min="9" max="9" width="10" customWidth="1"/>
    <col min="10" max="10" width="36" customWidth="1"/>
  </cols>
  <sheetData>
    <row r="1" spans="1:10" ht="39.75" customHeight="1" x14ac:dyDescent="0.35">
      <c r="A1" s="7" t="s">
        <v>1261</v>
      </c>
      <c r="B1" s="7"/>
      <c r="C1" s="7"/>
      <c r="D1" s="7"/>
      <c r="E1" s="7"/>
      <c r="F1" s="7"/>
      <c r="G1" s="7"/>
      <c r="H1" s="7"/>
      <c r="I1" s="7"/>
      <c r="J1" s="7"/>
    </row>
    <row r="2" spans="1:10" ht="21.75" customHeight="1" x14ac:dyDescent="0.35">
      <c r="A2" s="6" t="s">
        <v>1262</v>
      </c>
      <c r="B2" s="6"/>
      <c r="C2" s="6"/>
      <c r="D2" s="6"/>
      <c r="E2" s="6"/>
      <c r="F2" s="6"/>
      <c r="G2" s="6"/>
      <c r="H2" s="6"/>
      <c r="I2" s="6"/>
      <c r="J2" s="6"/>
    </row>
    <row r="3" spans="1:10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5" spans="1:10" ht="15" customHeight="1" x14ac:dyDescent="0.35">
      <c r="A5" s="13" t="s">
        <v>1263</v>
      </c>
      <c r="B5" s="13" t="s">
        <v>750</v>
      </c>
      <c r="C5" s="13" t="s">
        <v>1264</v>
      </c>
      <c r="D5" s="13" t="s">
        <v>1265</v>
      </c>
      <c r="E5" s="13" t="s">
        <v>1266</v>
      </c>
      <c r="F5" s="13" t="s">
        <v>1267</v>
      </c>
      <c r="G5" s="13" t="s">
        <v>1268</v>
      </c>
      <c r="H5" s="13" t="s">
        <v>1269</v>
      </c>
      <c r="I5" s="13" t="s">
        <v>238</v>
      </c>
      <c r="J5" s="13" t="s">
        <v>118</v>
      </c>
    </row>
    <row r="6" spans="1:10" ht="15" customHeight="1" x14ac:dyDescent="0.35">
      <c r="A6" s="11" t="s">
        <v>1164</v>
      </c>
      <c r="B6" s="11" t="s">
        <v>1270</v>
      </c>
      <c r="C6" s="11" t="s">
        <v>1166</v>
      </c>
      <c r="D6" s="11" t="s">
        <v>1271</v>
      </c>
      <c r="E6" s="11" t="s">
        <v>1272</v>
      </c>
      <c r="F6" s="11" t="s">
        <v>1273</v>
      </c>
      <c r="G6" s="11" t="s">
        <v>1274</v>
      </c>
      <c r="H6" s="11" t="s">
        <v>215</v>
      </c>
      <c r="I6" s="11" t="s">
        <v>1275</v>
      </c>
      <c r="J6" s="11" t="s">
        <v>1276</v>
      </c>
    </row>
    <row r="7" spans="1:10" ht="15" customHeight="1" x14ac:dyDescent="0.35">
      <c r="A7" s="10" t="s">
        <v>1175</v>
      </c>
      <c r="B7" s="10" t="s">
        <v>1270</v>
      </c>
      <c r="C7" s="10" t="s">
        <v>1277</v>
      </c>
      <c r="D7" s="10" t="s">
        <v>1278</v>
      </c>
      <c r="E7" s="10" t="s">
        <v>1176</v>
      </c>
      <c r="F7" s="10" t="s">
        <v>1279</v>
      </c>
      <c r="G7" s="10" t="s">
        <v>1280</v>
      </c>
      <c r="H7" s="10" t="s">
        <v>219</v>
      </c>
      <c r="I7" s="10" t="s">
        <v>1281</v>
      </c>
      <c r="J7" s="10" t="s">
        <v>1282</v>
      </c>
    </row>
    <row r="8" spans="1:10" ht="15" customHeight="1" x14ac:dyDescent="0.35">
      <c r="A8" s="11" t="s">
        <v>1195</v>
      </c>
      <c r="B8" s="11" t="s">
        <v>1270</v>
      </c>
      <c r="C8" s="11" t="s">
        <v>1277</v>
      </c>
      <c r="D8" s="11" t="s">
        <v>1283</v>
      </c>
      <c r="E8" s="11" t="s">
        <v>1186</v>
      </c>
      <c r="F8" s="11" t="s">
        <v>1284</v>
      </c>
      <c r="G8" s="11" t="s">
        <v>1285</v>
      </c>
      <c r="H8" s="11" t="s">
        <v>227</v>
      </c>
      <c r="I8" s="11" t="s">
        <v>1286</v>
      </c>
      <c r="J8" s="11" t="s">
        <v>1287</v>
      </c>
    </row>
    <row r="9" spans="1:10" ht="15" customHeight="1" x14ac:dyDescent="0.35">
      <c r="A9" s="10" t="s">
        <v>1238</v>
      </c>
      <c r="B9" s="10" t="s">
        <v>1270</v>
      </c>
      <c r="C9" s="10" t="s">
        <v>1166</v>
      </c>
      <c r="D9" s="10" t="s">
        <v>1288</v>
      </c>
      <c r="E9" s="10" t="s">
        <v>1289</v>
      </c>
      <c r="F9" s="10" t="s">
        <v>1290</v>
      </c>
      <c r="G9" s="10" t="s">
        <v>1291</v>
      </c>
      <c r="H9" s="10" t="s">
        <v>215</v>
      </c>
      <c r="I9" s="10" t="s">
        <v>1281</v>
      </c>
      <c r="J9" s="10" t="s">
        <v>1292</v>
      </c>
    </row>
    <row r="10" spans="1:10" ht="15" customHeight="1" x14ac:dyDescent="0.35">
      <c r="A10" s="11" t="s">
        <v>1246</v>
      </c>
      <c r="B10" s="11" t="s">
        <v>1270</v>
      </c>
      <c r="C10" s="11" t="s">
        <v>1212</v>
      </c>
      <c r="D10" s="11" t="s">
        <v>1293</v>
      </c>
      <c r="E10" s="11" t="s">
        <v>1294</v>
      </c>
      <c r="F10" s="11" t="s">
        <v>1295</v>
      </c>
      <c r="G10" s="11" t="s">
        <v>1296</v>
      </c>
      <c r="H10" s="11" t="s">
        <v>215</v>
      </c>
      <c r="I10" s="11" t="s">
        <v>1281</v>
      </c>
      <c r="J10" s="11" t="s">
        <v>1297</v>
      </c>
    </row>
    <row r="11" spans="1:10" ht="15" customHeight="1" x14ac:dyDescent="0.35">
      <c r="A11" s="10" t="s">
        <v>1298</v>
      </c>
      <c r="B11" s="10" t="s">
        <v>1270</v>
      </c>
      <c r="C11" s="10" t="s">
        <v>1177</v>
      </c>
      <c r="D11" s="10" t="s">
        <v>1299</v>
      </c>
      <c r="E11" s="10" t="s">
        <v>1272</v>
      </c>
      <c r="F11" s="10" t="s">
        <v>1300</v>
      </c>
      <c r="G11" s="10" t="s">
        <v>1301</v>
      </c>
      <c r="H11" s="10" t="s">
        <v>215</v>
      </c>
      <c r="I11" s="10" t="s">
        <v>1281</v>
      </c>
      <c r="J11" s="10" t="s">
        <v>1302</v>
      </c>
    </row>
    <row r="12" spans="1:10" ht="15" customHeight="1" x14ac:dyDescent="0.35">
      <c r="A12" s="11" t="s">
        <v>1303</v>
      </c>
      <c r="B12" s="11" t="s">
        <v>1270</v>
      </c>
      <c r="C12" s="11" t="s">
        <v>1304</v>
      </c>
      <c r="D12" s="11" t="s">
        <v>1305</v>
      </c>
      <c r="E12" s="11" t="s">
        <v>1196</v>
      </c>
      <c r="F12" s="11" t="s">
        <v>1306</v>
      </c>
      <c r="G12" s="11" t="s">
        <v>1307</v>
      </c>
      <c r="H12" s="11" t="s">
        <v>227</v>
      </c>
      <c r="I12" s="11" t="s">
        <v>1308</v>
      </c>
      <c r="J12" s="11" t="s">
        <v>1309</v>
      </c>
    </row>
    <row r="13" spans="1:10" ht="15" customHeight="1" x14ac:dyDescent="0.35">
      <c r="A13" s="10" t="s">
        <v>1310</v>
      </c>
      <c r="B13" s="10" t="s">
        <v>1270</v>
      </c>
      <c r="C13" s="10" t="s">
        <v>1277</v>
      </c>
      <c r="D13" s="10" t="s">
        <v>1311</v>
      </c>
      <c r="E13" s="10" t="s">
        <v>1289</v>
      </c>
      <c r="F13" s="10" t="s">
        <v>1312</v>
      </c>
      <c r="G13" s="10" t="s">
        <v>1313</v>
      </c>
      <c r="H13" s="10" t="s">
        <v>219</v>
      </c>
      <c r="I13" s="10" t="s">
        <v>1286</v>
      </c>
      <c r="J13" s="10" t="s">
        <v>1314</v>
      </c>
    </row>
    <row r="14" spans="1:10" ht="15" customHeight="1" x14ac:dyDescent="0.35">
      <c r="A14" s="11" t="s">
        <v>1315</v>
      </c>
      <c r="B14" s="11" t="s">
        <v>1231</v>
      </c>
      <c r="C14" s="11" t="s">
        <v>1212</v>
      </c>
      <c r="D14" s="11" t="s">
        <v>1316</v>
      </c>
      <c r="E14" s="11" t="s">
        <v>1186</v>
      </c>
      <c r="F14" s="11" t="s">
        <v>1317</v>
      </c>
      <c r="G14" s="11"/>
      <c r="H14" s="11" t="s">
        <v>215</v>
      </c>
      <c r="I14" s="11" t="s">
        <v>1275</v>
      </c>
      <c r="J14" s="11" t="s">
        <v>1318</v>
      </c>
    </row>
    <row r="15" spans="1:10" ht="15" customHeight="1" x14ac:dyDescent="0.35">
      <c r="A15" s="10" t="s">
        <v>1228</v>
      </c>
      <c r="B15" s="10" t="s">
        <v>1231</v>
      </c>
      <c r="C15" s="10" t="s">
        <v>1212</v>
      </c>
      <c r="D15" s="10" t="s">
        <v>1316</v>
      </c>
      <c r="E15" s="10" t="s">
        <v>1319</v>
      </c>
      <c r="F15" s="10" t="s">
        <v>1320</v>
      </c>
      <c r="G15" s="10"/>
      <c r="H15" s="10" t="s">
        <v>219</v>
      </c>
      <c r="I15" s="10" t="s">
        <v>1286</v>
      </c>
      <c r="J15" s="10" t="s">
        <v>1321</v>
      </c>
    </row>
    <row r="16" spans="1:10" ht="15" customHeight="1" x14ac:dyDescent="0.35">
      <c r="A16" s="11" t="s">
        <v>1322</v>
      </c>
      <c r="B16" s="11" t="s">
        <v>1323</v>
      </c>
      <c r="C16" s="11" t="s">
        <v>1177</v>
      </c>
      <c r="D16" s="11" t="s">
        <v>1324</v>
      </c>
      <c r="E16" s="11" t="s">
        <v>1319</v>
      </c>
      <c r="F16" s="11"/>
      <c r="G16" s="11" t="s">
        <v>1325</v>
      </c>
      <c r="H16" s="11" t="s">
        <v>219</v>
      </c>
      <c r="I16" s="11" t="s">
        <v>1286</v>
      </c>
      <c r="J16" s="11" t="s">
        <v>1326</v>
      </c>
    </row>
    <row r="17" spans="1:10" ht="15" customHeight="1" x14ac:dyDescent="0.35">
      <c r="A17" s="10" t="s">
        <v>1327</v>
      </c>
      <c r="B17" s="10" t="s">
        <v>1323</v>
      </c>
      <c r="C17" s="10" t="s">
        <v>1177</v>
      </c>
      <c r="D17" s="10" t="s">
        <v>1328</v>
      </c>
      <c r="E17" s="10" t="s">
        <v>1329</v>
      </c>
      <c r="F17" s="10" t="s">
        <v>1312</v>
      </c>
      <c r="G17" s="10" t="s">
        <v>1330</v>
      </c>
      <c r="H17" s="10" t="s">
        <v>227</v>
      </c>
      <c r="I17" s="10" t="s">
        <v>1308</v>
      </c>
      <c r="J17" s="10" t="s">
        <v>1331</v>
      </c>
    </row>
  </sheetData>
  <mergeCells count="3">
    <mergeCell ref="A1:J1"/>
    <mergeCell ref="A2:J2"/>
    <mergeCell ref="A3:J3"/>
  </mergeCells>
  <dataValidations count="1">
    <dataValidation type="list" allowBlank="1" sqref="I6:I60" xr:uid="{00000000-0002-0000-0F00-000000000000}">
      <formula1>"A1,A,B,C"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F4444"/>
  </sheetPr>
  <dimension ref="A1:L27"/>
  <sheetViews>
    <sheetView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18" customWidth="1"/>
    <col min="2" max="2" width="20" customWidth="1"/>
    <col min="3" max="12" width="14" customWidth="1"/>
  </cols>
  <sheetData>
    <row r="1" spans="1:12" ht="39.75" customHeight="1" x14ac:dyDescent="0.35">
      <c r="A1" s="7" t="s">
        <v>1332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1.75" customHeight="1" x14ac:dyDescent="0.35">
      <c r="A2" s="6" t="s">
        <v>1333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spans="1:12" ht="15" customHeight="1" x14ac:dyDescent="0.35">
      <c r="A5" s="1" t="s">
        <v>1334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5" customHeight="1" x14ac:dyDescent="0.35">
      <c r="A6" s="13" t="s">
        <v>208</v>
      </c>
      <c r="B6" s="13" t="s">
        <v>1335</v>
      </c>
      <c r="C6" s="13" t="s">
        <v>1336</v>
      </c>
      <c r="D6" s="13" t="s">
        <v>1337</v>
      </c>
      <c r="E6" s="13" t="s">
        <v>1338</v>
      </c>
      <c r="F6" s="13" t="s">
        <v>1339</v>
      </c>
      <c r="G6" s="13" t="s">
        <v>1340</v>
      </c>
      <c r="H6" s="13" t="s">
        <v>1341</v>
      </c>
      <c r="I6" s="13" t="s">
        <v>1342</v>
      </c>
      <c r="J6" s="13" t="s">
        <v>1343</v>
      </c>
      <c r="K6" s="13" t="s">
        <v>1344</v>
      </c>
      <c r="L6" s="13" t="s">
        <v>1345</v>
      </c>
    </row>
    <row r="7" spans="1:12" ht="18" customHeight="1" x14ac:dyDescent="0.35">
      <c r="A7" s="10" t="s">
        <v>254</v>
      </c>
      <c r="B7" s="10" t="s">
        <v>1346</v>
      </c>
      <c r="C7" s="22" t="s">
        <v>1347</v>
      </c>
      <c r="D7" s="22" t="s">
        <v>1348</v>
      </c>
      <c r="E7" s="22" t="s">
        <v>1349</v>
      </c>
      <c r="F7" s="22" t="s">
        <v>1350</v>
      </c>
      <c r="G7" s="22" t="s">
        <v>1350</v>
      </c>
      <c r="H7" s="22" t="s">
        <v>1350</v>
      </c>
      <c r="I7" s="22">
        <f t="shared" ref="I7:I12" si="0">SUM(C8:E8)</f>
        <v>0</v>
      </c>
      <c r="J7" s="22">
        <f t="shared" ref="J7:J12" si="1">SUM(F8:H8)</f>
        <v>0</v>
      </c>
      <c r="K7" s="22">
        <f t="shared" ref="K7:K12" si="2">SUM(F8:H8)</f>
        <v>0</v>
      </c>
      <c r="L7" s="22">
        <f t="shared" ref="L7:L17" si="3">IFERROR(I7-J7,0)</f>
        <v>0</v>
      </c>
    </row>
    <row r="8" spans="1:12" ht="18" customHeight="1" x14ac:dyDescent="0.35">
      <c r="A8" s="11" t="s">
        <v>307</v>
      </c>
      <c r="B8" s="11" t="s">
        <v>1351</v>
      </c>
      <c r="C8" s="23" t="s">
        <v>475</v>
      </c>
      <c r="D8" s="23" t="s">
        <v>324</v>
      </c>
      <c r="E8" s="23" t="s">
        <v>465</v>
      </c>
      <c r="F8" s="23" t="s">
        <v>1352</v>
      </c>
      <c r="G8" s="23" t="s">
        <v>1353</v>
      </c>
      <c r="H8" s="23" t="s">
        <v>1353</v>
      </c>
      <c r="I8" s="23">
        <f t="shared" si="0"/>
        <v>0</v>
      </c>
      <c r="J8" s="23">
        <f t="shared" si="1"/>
        <v>0</v>
      </c>
      <c r="K8" s="23">
        <f t="shared" si="2"/>
        <v>0</v>
      </c>
      <c r="L8" s="23">
        <f t="shared" si="3"/>
        <v>0</v>
      </c>
    </row>
    <row r="9" spans="1:12" ht="18" customHeight="1" x14ac:dyDescent="0.35">
      <c r="A9" s="10" t="s">
        <v>307</v>
      </c>
      <c r="B9" s="10" t="s">
        <v>1354</v>
      </c>
      <c r="C9" s="22" t="s">
        <v>448</v>
      </c>
      <c r="D9" s="22" t="s">
        <v>448</v>
      </c>
      <c r="E9" s="22" t="s">
        <v>429</v>
      </c>
      <c r="F9" s="22" t="s">
        <v>475</v>
      </c>
      <c r="G9" s="22" t="s">
        <v>475</v>
      </c>
      <c r="H9" s="22" t="s">
        <v>475</v>
      </c>
      <c r="I9" s="22">
        <f t="shared" si="0"/>
        <v>0</v>
      </c>
      <c r="J9" s="22">
        <f t="shared" si="1"/>
        <v>0</v>
      </c>
      <c r="K9" s="22">
        <f t="shared" si="2"/>
        <v>0</v>
      </c>
      <c r="L9" s="22">
        <f t="shared" si="3"/>
        <v>0</v>
      </c>
    </row>
    <row r="10" spans="1:12" ht="18" customHeight="1" x14ac:dyDescent="0.35">
      <c r="A10" s="11" t="s">
        <v>1355</v>
      </c>
      <c r="B10" s="11" t="s">
        <v>1356</v>
      </c>
      <c r="C10" s="23" t="s">
        <v>1357</v>
      </c>
      <c r="D10" s="23" t="s">
        <v>448</v>
      </c>
      <c r="E10" s="23" t="s">
        <v>1358</v>
      </c>
      <c r="F10" s="23" t="s">
        <v>429</v>
      </c>
      <c r="G10" s="23" t="s">
        <v>475</v>
      </c>
      <c r="H10" s="23" t="s">
        <v>324</v>
      </c>
      <c r="I10" s="23">
        <f t="shared" si="0"/>
        <v>0</v>
      </c>
      <c r="J10" s="23">
        <f t="shared" si="1"/>
        <v>0</v>
      </c>
      <c r="K10" s="23">
        <f t="shared" si="2"/>
        <v>0</v>
      </c>
      <c r="L10" s="23">
        <f t="shared" si="3"/>
        <v>0</v>
      </c>
    </row>
    <row r="11" spans="1:12" ht="18" customHeight="1" x14ac:dyDescent="0.35">
      <c r="A11" s="10" t="s">
        <v>214</v>
      </c>
      <c r="B11" s="10" t="s">
        <v>1359</v>
      </c>
      <c r="C11" s="22" t="s">
        <v>1360</v>
      </c>
      <c r="D11" s="22" t="s">
        <v>475</v>
      </c>
      <c r="E11" s="22" t="s">
        <v>429</v>
      </c>
      <c r="F11" s="22" t="s">
        <v>448</v>
      </c>
      <c r="G11" s="22" t="s">
        <v>448</v>
      </c>
      <c r="H11" s="22" t="s">
        <v>448</v>
      </c>
      <c r="I11" s="22">
        <f t="shared" si="0"/>
        <v>0</v>
      </c>
      <c r="J11" s="22">
        <f t="shared" si="1"/>
        <v>0</v>
      </c>
      <c r="K11" s="22">
        <f t="shared" si="2"/>
        <v>0</v>
      </c>
      <c r="L11" s="22">
        <f t="shared" si="3"/>
        <v>0</v>
      </c>
    </row>
    <row r="12" spans="1:12" ht="18" customHeight="1" x14ac:dyDescent="0.35">
      <c r="A12" s="11" t="s">
        <v>880</v>
      </c>
      <c r="B12" s="11" t="s">
        <v>1361</v>
      </c>
      <c r="C12" s="23" t="s">
        <v>141</v>
      </c>
      <c r="D12" s="23" t="s">
        <v>311</v>
      </c>
      <c r="E12" s="23" t="s">
        <v>1060</v>
      </c>
      <c r="F12" s="23" t="s">
        <v>483</v>
      </c>
      <c r="G12" s="23" t="s">
        <v>1046</v>
      </c>
      <c r="H12" s="23" t="s">
        <v>1362</v>
      </c>
      <c r="I12" s="23">
        <f t="shared" si="0"/>
        <v>0</v>
      </c>
      <c r="J12" s="23">
        <f t="shared" si="1"/>
        <v>0</v>
      </c>
      <c r="K12" s="23">
        <f t="shared" si="2"/>
        <v>0</v>
      </c>
      <c r="L12" s="23">
        <f t="shared" si="3"/>
        <v>0</v>
      </c>
    </row>
    <row r="13" spans="1:12" ht="18" customHeight="1" x14ac:dyDescent="0.35">
      <c r="A13" s="10" t="s">
        <v>264</v>
      </c>
      <c r="B13" s="10" t="s">
        <v>1363</v>
      </c>
      <c r="C13" s="22" t="s">
        <v>429</v>
      </c>
      <c r="D13" s="22" t="s">
        <v>429</v>
      </c>
      <c r="E13" s="22" t="s">
        <v>429</v>
      </c>
      <c r="F13" s="22" t="s">
        <v>475</v>
      </c>
      <c r="G13" s="22" t="s">
        <v>475</v>
      </c>
      <c r="H13" s="22" t="s">
        <v>475</v>
      </c>
      <c r="I13" s="22">
        <f>IFERROR(SUM(C13:E13),0)</f>
        <v>0</v>
      </c>
      <c r="J13" s="22">
        <f>IFERROR(SUM(F13:H13),0)</f>
        <v>0</v>
      </c>
      <c r="K13" s="22">
        <f>IFERROR(SUM(F13:H13),0)</f>
        <v>0</v>
      </c>
      <c r="L13" s="22">
        <f t="shared" si="3"/>
        <v>0</v>
      </c>
    </row>
    <row r="14" spans="1:12" ht="18" customHeight="1" x14ac:dyDescent="0.35">
      <c r="A14" s="11" t="s">
        <v>1070</v>
      </c>
      <c r="B14" s="11" t="s">
        <v>1364</v>
      </c>
      <c r="C14" s="23" t="s">
        <v>448</v>
      </c>
      <c r="D14" s="23" t="s">
        <v>448</v>
      </c>
      <c r="E14" s="23" t="s">
        <v>1358</v>
      </c>
      <c r="F14" s="23" t="s">
        <v>429</v>
      </c>
      <c r="G14" s="23" t="s">
        <v>429</v>
      </c>
      <c r="H14" s="23" t="s">
        <v>429</v>
      </c>
      <c r="I14" s="23">
        <f>SUM(C15:E15)</f>
        <v>0</v>
      </c>
      <c r="J14" s="23">
        <f>SUM(F15:H15)</f>
        <v>0</v>
      </c>
      <c r="K14" s="23">
        <f>SUM(F15:H15)</f>
        <v>0</v>
      </c>
      <c r="L14" s="23">
        <f t="shared" si="3"/>
        <v>0</v>
      </c>
    </row>
    <row r="15" spans="1:12" ht="18" customHeight="1" x14ac:dyDescent="0.35">
      <c r="A15" s="10" t="s">
        <v>1365</v>
      </c>
      <c r="B15" s="10" t="s">
        <v>1366</v>
      </c>
      <c r="C15" s="22" t="s">
        <v>1358</v>
      </c>
      <c r="D15" s="22" t="s">
        <v>1358</v>
      </c>
      <c r="E15" s="22" t="s">
        <v>1358</v>
      </c>
      <c r="F15" s="22" t="s">
        <v>429</v>
      </c>
      <c r="G15" s="22" t="s">
        <v>429</v>
      </c>
      <c r="H15" s="22" t="s">
        <v>429</v>
      </c>
      <c r="I15" s="22">
        <f>SUM(C16:E16)</f>
        <v>0</v>
      </c>
      <c r="J15" s="22">
        <f>SUM(F16:H16)</f>
        <v>0</v>
      </c>
      <c r="K15" s="22">
        <f>SUM(F16:H16)</f>
        <v>0</v>
      </c>
      <c r="L15" s="22">
        <f t="shared" si="3"/>
        <v>0</v>
      </c>
    </row>
    <row r="16" spans="1:12" ht="18" customHeight="1" x14ac:dyDescent="0.35">
      <c r="A16" s="11" t="s">
        <v>1367</v>
      </c>
      <c r="B16" s="11" t="s">
        <v>1368</v>
      </c>
      <c r="C16" s="23" t="s">
        <v>360</v>
      </c>
      <c r="D16" s="23" t="s">
        <v>448</v>
      </c>
      <c r="E16" s="23" t="s">
        <v>429</v>
      </c>
      <c r="F16" s="23" t="s">
        <v>475</v>
      </c>
      <c r="G16" s="23" t="s">
        <v>475</v>
      </c>
      <c r="H16" s="23" t="s">
        <v>429</v>
      </c>
      <c r="I16" s="23">
        <f>IFERROR(SUM(C16:E16),0)</f>
        <v>0</v>
      </c>
      <c r="J16" s="23">
        <f>IFERROR(SUM(F16:H16),0)</f>
        <v>0</v>
      </c>
      <c r="K16" s="23">
        <f>IFERROR(SUM(F16:H16),0)</f>
        <v>0</v>
      </c>
      <c r="L16" s="23">
        <f t="shared" si="3"/>
        <v>0</v>
      </c>
    </row>
    <row r="17" spans="1:12" ht="18" customHeight="1" x14ac:dyDescent="0.35">
      <c r="A17" s="24" t="s">
        <v>1369</v>
      </c>
      <c r="B17" s="24"/>
      <c r="C17" s="25">
        <f t="shared" ref="C17:K17" si="4">IFERROR(SUM(C7:C16),0)</f>
        <v>0</v>
      </c>
      <c r="D17" s="25">
        <f t="shared" si="4"/>
        <v>0</v>
      </c>
      <c r="E17" s="25">
        <f t="shared" si="4"/>
        <v>0</v>
      </c>
      <c r="F17" s="25">
        <f t="shared" si="4"/>
        <v>0</v>
      </c>
      <c r="G17" s="25">
        <f t="shared" si="4"/>
        <v>0</v>
      </c>
      <c r="H17" s="25">
        <f t="shared" si="4"/>
        <v>0</v>
      </c>
      <c r="I17" s="25">
        <f t="shared" si="4"/>
        <v>0</v>
      </c>
      <c r="J17" s="25">
        <f t="shared" si="4"/>
        <v>0</v>
      </c>
      <c r="K17" s="25">
        <f t="shared" si="4"/>
        <v>0</v>
      </c>
      <c r="L17" s="26">
        <f t="shared" si="3"/>
        <v>0</v>
      </c>
    </row>
    <row r="20" spans="1:12" ht="15" customHeight="1" x14ac:dyDescent="0.35">
      <c r="A20" s="1" t="s">
        <v>1370</v>
      </c>
      <c r="B20" s="1"/>
      <c r="C20" s="1"/>
      <c r="D20" s="1"/>
    </row>
    <row r="21" spans="1:12" ht="15" customHeight="1" x14ac:dyDescent="0.35">
      <c r="A21" s="12" t="s">
        <v>1371</v>
      </c>
      <c r="B21" s="27" t="s">
        <v>1372</v>
      </c>
    </row>
    <row r="22" spans="1:12" ht="15" customHeight="1" x14ac:dyDescent="0.35">
      <c r="A22" s="12" t="s">
        <v>1373</v>
      </c>
      <c r="B22" s="27">
        <f>C18</f>
        <v>0</v>
      </c>
    </row>
    <row r="23" spans="1:12" ht="15" customHeight="1" x14ac:dyDescent="0.35">
      <c r="A23" s="12" t="s">
        <v>125</v>
      </c>
      <c r="B23" s="18">
        <f>IF(C22=0,999,C21/C22)</f>
        <v>999</v>
      </c>
    </row>
    <row r="24" spans="1:12" ht="15" customHeight="1" x14ac:dyDescent="0.35">
      <c r="A24" s="12" t="s">
        <v>1374</v>
      </c>
      <c r="B24" s="18" t="str">
        <f ca="1">TEXT(TODAY()+C23*30,"MMM-YYYY")</f>
        <v>May-2026</v>
      </c>
    </row>
    <row r="25" spans="1:12" ht="15" customHeight="1" x14ac:dyDescent="0.35">
      <c r="A25" s="12" t="s">
        <v>1375</v>
      </c>
      <c r="B25" s="27" t="s">
        <v>311</v>
      </c>
    </row>
    <row r="26" spans="1:12" ht="15" customHeight="1" x14ac:dyDescent="0.35">
      <c r="A26" s="12" t="s">
        <v>1376</v>
      </c>
      <c r="B26" s="27">
        <f>C22-C25</f>
        <v>0</v>
      </c>
    </row>
    <row r="27" spans="1:12" ht="15" customHeight="1" x14ac:dyDescent="0.35">
      <c r="A27" s="12" t="s">
        <v>1377</v>
      </c>
      <c r="B27" s="18">
        <f>IF(C26&gt;=0,999,C21/ABS(C26))</f>
        <v>999</v>
      </c>
    </row>
  </sheetData>
  <mergeCells count="5">
    <mergeCell ref="A1:L1"/>
    <mergeCell ref="A2:L2"/>
    <mergeCell ref="A3:L3"/>
    <mergeCell ref="A5:L5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F4444"/>
  </sheetPr>
  <dimension ref="A1:J20"/>
  <sheetViews>
    <sheetView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18" customWidth="1"/>
    <col min="2" max="2" width="14" customWidth="1"/>
    <col min="3" max="3" width="12" customWidth="1"/>
    <col min="4" max="4" width="10" customWidth="1"/>
    <col min="5" max="5" width="12" customWidth="1"/>
    <col min="6" max="7" width="14" customWidth="1"/>
    <col min="8" max="8" width="10" customWidth="1"/>
    <col min="9" max="9" width="12" customWidth="1"/>
    <col min="10" max="10" width="10" customWidth="1"/>
  </cols>
  <sheetData>
    <row r="1" spans="1:10" ht="39.75" customHeight="1" x14ac:dyDescent="0.35">
      <c r="A1" s="7" t="s">
        <v>1378</v>
      </c>
      <c r="B1" s="7"/>
      <c r="C1" s="7"/>
      <c r="D1" s="7"/>
      <c r="E1" s="7"/>
      <c r="F1" s="7"/>
      <c r="G1" s="7"/>
      <c r="H1" s="7"/>
      <c r="I1" s="7"/>
      <c r="J1" s="7"/>
    </row>
    <row r="2" spans="1:10" ht="21.75" customHeight="1" x14ac:dyDescent="0.35">
      <c r="A2" s="6" t="s">
        <v>1379</v>
      </c>
      <c r="B2" s="6"/>
      <c r="C2" s="6"/>
      <c r="D2" s="6"/>
      <c r="E2" s="6"/>
      <c r="F2" s="6"/>
      <c r="G2" s="6"/>
      <c r="H2" s="6"/>
      <c r="I2" s="6"/>
      <c r="J2" s="6"/>
    </row>
    <row r="3" spans="1:10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5" spans="1:10" ht="15" customHeight="1" x14ac:dyDescent="0.35">
      <c r="A5" s="1" t="s">
        <v>1380</v>
      </c>
      <c r="B5" s="1"/>
      <c r="C5" s="1"/>
      <c r="D5" s="1"/>
      <c r="E5" s="1"/>
      <c r="F5" s="1"/>
      <c r="G5" s="1"/>
      <c r="H5" s="1"/>
      <c r="I5" s="1"/>
      <c r="J5" s="1"/>
    </row>
    <row r="6" spans="1:10" ht="23.25" customHeight="1" x14ac:dyDescent="0.35">
      <c r="A6" s="13" t="s">
        <v>1381</v>
      </c>
      <c r="B6" s="13" t="s">
        <v>1382</v>
      </c>
      <c r="C6" s="13" t="s">
        <v>1383</v>
      </c>
      <c r="D6" s="13" t="s">
        <v>1384</v>
      </c>
      <c r="E6" s="13" t="s">
        <v>1385</v>
      </c>
      <c r="F6" s="13" t="s">
        <v>118</v>
      </c>
    </row>
    <row r="7" spans="1:10" ht="45.75" customHeight="1" x14ac:dyDescent="0.35">
      <c r="A7" s="10" t="s">
        <v>1386</v>
      </c>
      <c r="B7" s="10" t="s">
        <v>141</v>
      </c>
      <c r="C7" s="10" t="s">
        <v>1387</v>
      </c>
      <c r="D7" s="10" t="s">
        <v>1388</v>
      </c>
      <c r="E7" s="10" t="s">
        <v>644</v>
      </c>
      <c r="F7" s="10" t="s">
        <v>1389</v>
      </c>
    </row>
    <row r="8" spans="1:10" ht="57" customHeight="1" x14ac:dyDescent="0.35">
      <c r="A8" s="11" t="s">
        <v>1390</v>
      </c>
      <c r="B8" s="11" t="s">
        <v>1391</v>
      </c>
      <c r="C8" s="11" t="s">
        <v>1392</v>
      </c>
      <c r="D8" s="11" t="s">
        <v>1393</v>
      </c>
      <c r="E8" s="11" t="s">
        <v>1394</v>
      </c>
      <c r="F8" s="11" t="s">
        <v>1395</v>
      </c>
    </row>
    <row r="9" spans="1:10" ht="45.75" customHeight="1" x14ac:dyDescent="0.35">
      <c r="A9" s="10" t="s">
        <v>1396</v>
      </c>
      <c r="B9" s="10" t="s">
        <v>1397</v>
      </c>
      <c r="C9" s="10" t="s">
        <v>1398</v>
      </c>
      <c r="D9" s="10" t="s">
        <v>1399</v>
      </c>
      <c r="E9" s="10" t="s">
        <v>1400</v>
      </c>
      <c r="F9" s="10" t="s">
        <v>1401</v>
      </c>
    </row>
    <row r="10" spans="1:10" ht="45.75" customHeight="1" x14ac:dyDescent="0.35">
      <c r="A10" s="11" t="s">
        <v>1402</v>
      </c>
      <c r="B10" s="11" t="s">
        <v>1403</v>
      </c>
      <c r="C10" s="11" t="s">
        <v>1404</v>
      </c>
      <c r="D10" s="11" t="s">
        <v>1405</v>
      </c>
      <c r="E10" s="11" t="s">
        <v>1406</v>
      </c>
      <c r="F10" s="11" t="s">
        <v>1407</v>
      </c>
    </row>
    <row r="13" spans="1:10" ht="15" customHeight="1" x14ac:dyDescent="0.35">
      <c r="A13" s="1" t="s">
        <v>1408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15" customHeight="1" x14ac:dyDescent="0.35">
      <c r="A14" s="13" t="s">
        <v>1409</v>
      </c>
      <c r="B14" s="13" t="s">
        <v>1410</v>
      </c>
      <c r="C14" s="13" t="s">
        <v>1411</v>
      </c>
      <c r="D14" s="13" t="s">
        <v>1412</v>
      </c>
      <c r="E14" s="13" t="s">
        <v>1413</v>
      </c>
      <c r="F14" s="13" t="s">
        <v>1414</v>
      </c>
      <c r="G14" s="13" t="s">
        <v>1415</v>
      </c>
      <c r="H14" s="13" t="s">
        <v>1416</v>
      </c>
      <c r="I14" s="13" t="s">
        <v>1417</v>
      </c>
      <c r="J14" s="13" t="s">
        <v>1418</v>
      </c>
    </row>
    <row r="15" spans="1:10" ht="15" customHeight="1" x14ac:dyDescent="0.35">
      <c r="A15" s="10" t="s">
        <v>1419</v>
      </c>
      <c r="B15" s="10" t="s">
        <v>120</v>
      </c>
      <c r="C15" s="10" t="s">
        <v>278</v>
      </c>
      <c r="D15" s="10" t="s">
        <v>152</v>
      </c>
      <c r="E15" s="10" t="s">
        <v>587</v>
      </c>
      <c r="F15" s="21">
        <f t="shared" ref="F15:F20" si="0">C15*199+D15*499+E15*799</f>
        <v>8073</v>
      </c>
      <c r="G15" s="21">
        <f t="shared" ref="G15:G20" si="1">F15*12</f>
        <v>96876</v>
      </c>
      <c r="H15" s="21" t="s">
        <v>696</v>
      </c>
      <c r="I15" s="21">
        <f t="shared" ref="I15:I20" si="2">199*12*0.7</f>
        <v>1671.6</v>
      </c>
      <c r="J15" s="28">
        <f>H15/G15</f>
        <v>8.2579792724720262E-3</v>
      </c>
    </row>
    <row r="16" spans="1:10" ht="15" customHeight="1" x14ac:dyDescent="0.35">
      <c r="A16" s="11" t="s">
        <v>1420</v>
      </c>
      <c r="B16" s="11" t="s">
        <v>696</v>
      </c>
      <c r="C16" s="11" t="s">
        <v>137</v>
      </c>
      <c r="D16" s="11" t="s">
        <v>287</v>
      </c>
      <c r="E16" s="11" t="s">
        <v>152</v>
      </c>
      <c r="F16" s="20">
        <f t="shared" si="0"/>
        <v>17943</v>
      </c>
      <c r="G16" s="20">
        <f t="shared" si="1"/>
        <v>215316</v>
      </c>
      <c r="H16" s="20" t="s">
        <v>1421</v>
      </c>
      <c r="I16" s="20">
        <f t="shared" si="2"/>
        <v>1671.6</v>
      </c>
      <c r="J16" s="29">
        <f>IFERROR(I16/MAX(1,H16),0)</f>
        <v>1671.6</v>
      </c>
    </row>
    <row r="17" spans="1:10" ht="15" customHeight="1" x14ac:dyDescent="0.35">
      <c r="A17" s="10" t="s">
        <v>1422</v>
      </c>
      <c r="B17" s="10" t="s">
        <v>665</v>
      </c>
      <c r="C17" s="10" t="s">
        <v>1423</v>
      </c>
      <c r="D17" s="10" t="s">
        <v>527</v>
      </c>
      <c r="E17" s="10" t="s">
        <v>392</v>
      </c>
      <c r="F17" s="21">
        <f t="shared" si="0"/>
        <v>32099</v>
      </c>
      <c r="G17" s="21">
        <f t="shared" si="1"/>
        <v>385188</v>
      </c>
      <c r="H17" s="21" t="s">
        <v>1424</v>
      </c>
      <c r="I17" s="21">
        <f t="shared" si="2"/>
        <v>1671.6</v>
      </c>
      <c r="J17" s="28">
        <f>IFERROR(I17/MAX(1,H17),0)</f>
        <v>1671.6</v>
      </c>
    </row>
    <row r="18" spans="1:10" ht="15" customHeight="1" x14ac:dyDescent="0.35">
      <c r="A18" s="11" t="s">
        <v>1425</v>
      </c>
      <c r="B18" s="11" t="s">
        <v>1426</v>
      </c>
      <c r="C18" s="11" t="s">
        <v>1427</v>
      </c>
      <c r="D18" s="11" t="s">
        <v>1428</v>
      </c>
      <c r="E18" s="11" t="s">
        <v>137</v>
      </c>
      <c r="F18" s="20">
        <f t="shared" si="0"/>
        <v>136570</v>
      </c>
      <c r="G18" s="20">
        <f t="shared" si="1"/>
        <v>1638840</v>
      </c>
      <c r="H18" s="20" t="s">
        <v>649</v>
      </c>
      <c r="I18" s="20">
        <f t="shared" si="2"/>
        <v>1671.6</v>
      </c>
      <c r="J18" s="29">
        <f>IFERROR(I18/MAX(1,H18),0)</f>
        <v>1671.6</v>
      </c>
    </row>
    <row r="19" spans="1:10" ht="15" customHeight="1" x14ac:dyDescent="0.35">
      <c r="A19" s="10" t="s">
        <v>1429</v>
      </c>
      <c r="B19" s="10" t="s">
        <v>448</v>
      </c>
      <c r="C19" s="10" t="s">
        <v>1430</v>
      </c>
      <c r="D19" s="10" t="s">
        <v>1431</v>
      </c>
      <c r="E19" s="10" t="s">
        <v>1432</v>
      </c>
      <c r="F19" s="21">
        <f t="shared" si="0"/>
        <v>383750</v>
      </c>
      <c r="G19" s="21">
        <f t="shared" si="1"/>
        <v>4605000</v>
      </c>
      <c r="H19" s="21" t="s">
        <v>120</v>
      </c>
      <c r="I19" s="21">
        <f t="shared" si="2"/>
        <v>1671.6</v>
      </c>
      <c r="J19" s="28">
        <f>IFERROR(I19/MAX(1,H19),0)</f>
        <v>1671.6</v>
      </c>
    </row>
    <row r="20" spans="1:10" ht="15" customHeight="1" x14ac:dyDescent="0.35">
      <c r="A20" s="11" t="s">
        <v>1433</v>
      </c>
      <c r="B20" s="11" t="s">
        <v>1434</v>
      </c>
      <c r="C20" s="11" t="s">
        <v>1435</v>
      </c>
      <c r="D20" s="11" t="s">
        <v>649</v>
      </c>
      <c r="E20" s="11" t="s">
        <v>1431</v>
      </c>
      <c r="F20" s="20">
        <f t="shared" si="0"/>
        <v>936950</v>
      </c>
      <c r="G20" s="20">
        <f t="shared" si="1"/>
        <v>11243400</v>
      </c>
      <c r="H20" s="20" t="s">
        <v>628</v>
      </c>
      <c r="I20" s="20">
        <f t="shared" si="2"/>
        <v>1671.6</v>
      </c>
      <c r="J20" s="29">
        <f>IFERROR(I20/MAX(1,H20),0)</f>
        <v>1671.6</v>
      </c>
    </row>
  </sheetData>
  <mergeCells count="5">
    <mergeCell ref="A1:J1"/>
    <mergeCell ref="A2:J2"/>
    <mergeCell ref="A3:J3"/>
    <mergeCell ref="A5:J5"/>
    <mergeCell ref="A13:J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C4899"/>
  </sheetPr>
  <dimension ref="A1:M21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2" width="14" customWidth="1"/>
    <col min="3" max="4" width="12" customWidth="1"/>
    <col min="5" max="5" width="14" customWidth="1"/>
    <col min="6" max="8" width="10" customWidth="1"/>
    <col min="9" max="9" width="8" customWidth="1"/>
    <col min="10" max="11" width="10" customWidth="1"/>
    <col min="12" max="13" width="14" customWidth="1"/>
  </cols>
  <sheetData>
    <row r="1" spans="1:13" ht="39.75" customHeight="1" x14ac:dyDescent="0.35">
      <c r="A1" s="7" t="s">
        <v>1436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ht="21.75" customHeight="1" x14ac:dyDescent="0.35">
      <c r="A2" s="6" t="s">
        <v>1437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3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spans="1:13" ht="15" customHeight="1" x14ac:dyDescent="0.35">
      <c r="A5" s="13" t="s">
        <v>1438</v>
      </c>
      <c r="B5" s="13" t="s">
        <v>1439</v>
      </c>
      <c r="C5" s="13" t="s">
        <v>1440</v>
      </c>
      <c r="D5" s="13" t="s">
        <v>1441</v>
      </c>
      <c r="E5" s="13" t="s">
        <v>1442</v>
      </c>
      <c r="F5" s="13" t="s">
        <v>1443</v>
      </c>
      <c r="G5" s="13" t="s">
        <v>1444</v>
      </c>
      <c r="H5" s="13" t="s">
        <v>1416</v>
      </c>
      <c r="I5" s="13" t="s">
        <v>1445</v>
      </c>
      <c r="J5" s="13" t="s">
        <v>1446</v>
      </c>
      <c r="K5" s="13" t="s">
        <v>1447</v>
      </c>
      <c r="L5" s="13" t="s">
        <v>117</v>
      </c>
      <c r="M5" s="13" t="s">
        <v>5</v>
      </c>
    </row>
    <row r="6" spans="1:13" ht="23.25" customHeight="1" x14ac:dyDescent="0.35">
      <c r="A6" s="11" t="s">
        <v>1448</v>
      </c>
      <c r="B6" s="11" t="s">
        <v>1449</v>
      </c>
      <c r="C6" s="11" t="s">
        <v>311</v>
      </c>
      <c r="D6" s="11" t="s">
        <v>1450</v>
      </c>
      <c r="E6" s="11" t="s">
        <v>1451</v>
      </c>
      <c r="F6" s="11" t="s">
        <v>1452</v>
      </c>
      <c r="G6" s="11" t="s">
        <v>682</v>
      </c>
      <c r="H6" s="11">
        <f t="shared" ref="H6:H13" si="0">IFERROR(D6/MAX(1,G6),0)</f>
        <v>45000</v>
      </c>
      <c r="I6" s="30">
        <f t="shared" ref="I6:J8" si="1">IFERROR(F6/MAX(1,E6),0)</f>
        <v>8500</v>
      </c>
      <c r="J6" s="30">
        <f t="shared" si="1"/>
        <v>420</v>
      </c>
      <c r="K6" s="11">
        <f>IFERROR((G6*199-D6)/MAX(1,D6),0)</f>
        <v>38580</v>
      </c>
      <c r="L6" s="11" t="s">
        <v>177</v>
      </c>
      <c r="M6" s="11" t="s">
        <v>66</v>
      </c>
    </row>
    <row r="7" spans="1:13" ht="15" customHeight="1" x14ac:dyDescent="0.35">
      <c r="A7" s="10" t="s">
        <v>1453</v>
      </c>
      <c r="B7" s="10" t="s">
        <v>1454</v>
      </c>
      <c r="C7" s="10" t="s">
        <v>465</v>
      </c>
      <c r="D7" s="10" t="s">
        <v>1455</v>
      </c>
      <c r="E7" s="10" t="s">
        <v>1450</v>
      </c>
      <c r="F7" s="10" t="s">
        <v>1435</v>
      </c>
      <c r="G7" s="10" t="s">
        <v>1456</v>
      </c>
      <c r="H7" s="10">
        <f t="shared" si="0"/>
        <v>28000</v>
      </c>
      <c r="I7" s="31">
        <f t="shared" si="1"/>
        <v>2200</v>
      </c>
      <c r="J7" s="31">
        <f t="shared" si="1"/>
        <v>180</v>
      </c>
      <c r="K7" s="10">
        <f>IFERROR((G7*199-D7)/MAX(1,D7),0)</f>
        <v>7820</v>
      </c>
      <c r="L7" s="10" t="s">
        <v>177</v>
      </c>
      <c r="M7" s="10" t="s">
        <v>66</v>
      </c>
    </row>
    <row r="8" spans="1:13" ht="15" customHeight="1" x14ac:dyDescent="0.35">
      <c r="A8" s="11" t="s">
        <v>1457</v>
      </c>
      <c r="B8" s="11" t="s">
        <v>1458</v>
      </c>
      <c r="C8" s="11" t="s">
        <v>475</v>
      </c>
      <c r="D8" s="11" t="s">
        <v>475</v>
      </c>
      <c r="E8" s="11" t="s">
        <v>334</v>
      </c>
      <c r="F8" s="11" t="s">
        <v>1459</v>
      </c>
      <c r="G8" s="11" t="s">
        <v>1460</v>
      </c>
      <c r="H8" s="11">
        <f t="shared" si="0"/>
        <v>20000</v>
      </c>
      <c r="I8" s="30">
        <f t="shared" si="1"/>
        <v>5500</v>
      </c>
      <c r="J8" s="30">
        <f t="shared" si="1"/>
        <v>210</v>
      </c>
      <c r="K8" s="11">
        <f>IFERROR((G8*199-D8)/MAX(1,D8),0)</f>
        <v>21790</v>
      </c>
      <c r="L8" s="11" t="s">
        <v>177</v>
      </c>
      <c r="M8" s="11" t="s">
        <v>66</v>
      </c>
    </row>
    <row r="9" spans="1:13" ht="15" customHeight="1" x14ac:dyDescent="0.35">
      <c r="A9" s="10" t="s">
        <v>1461</v>
      </c>
      <c r="B9" s="10" t="s">
        <v>1462</v>
      </c>
      <c r="C9" s="10" t="s">
        <v>448</v>
      </c>
      <c r="D9" s="10" t="s">
        <v>1463</v>
      </c>
      <c r="E9" s="10"/>
      <c r="F9" s="10" t="s">
        <v>665</v>
      </c>
      <c r="G9" s="10" t="s">
        <v>1464</v>
      </c>
      <c r="H9" s="10">
        <f t="shared" si="0"/>
        <v>3000</v>
      </c>
      <c r="I9" s="31"/>
      <c r="J9" s="31">
        <f>IFERROR(G9/MAX(1,F9),0)</f>
        <v>380</v>
      </c>
      <c r="K9" s="10">
        <f>IFERROR((G9*199-D9)/MAX(1,D9),0)</f>
        <v>72620</v>
      </c>
      <c r="L9" s="10" t="s">
        <v>684</v>
      </c>
      <c r="M9" s="10" t="s">
        <v>96</v>
      </c>
    </row>
    <row r="10" spans="1:13" ht="15" customHeight="1" x14ac:dyDescent="0.35">
      <c r="A10" s="11" t="s">
        <v>1465</v>
      </c>
      <c r="B10" s="11" t="s">
        <v>1466</v>
      </c>
      <c r="C10" s="11" t="s">
        <v>360</v>
      </c>
      <c r="D10" s="11" t="s">
        <v>987</v>
      </c>
      <c r="E10" s="11"/>
      <c r="F10" s="11" t="s">
        <v>987</v>
      </c>
      <c r="G10" s="11" t="s">
        <v>617</v>
      </c>
      <c r="H10" s="11">
        <f t="shared" si="0"/>
        <v>2000</v>
      </c>
      <c r="I10" s="30"/>
      <c r="J10" s="30">
        <f>IFERROR(G10/MAX(1,F10),0)</f>
        <v>320</v>
      </c>
      <c r="K10" s="11">
        <f>IFERROR((G10*199-D10)/MAX(1,D10),0)</f>
        <v>61680</v>
      </c>
      <c r="L10" s="11" t="s">
        <v>684</v>
      </c>
      <c r="M10" s="11" t="s">
        <v>66</v>
      </c>
    </row>
    <row r="11" spans="1:13" ht="15" customHeight="1" x14ac:dyDescent="0.35">
      <c r="A11" s="10" t="s">
        <v>1467</v>
      </c>
      <c r="B11" s="10" t="s">
        <v>1468</v>
      </c>
      <c r="C11" s="10" t="s">
        <v>141</v>
      </c>
      <c r="D11" s="10" t="s">
        <v>141</v>
      </c>
      <c r="E11" s="10"/>
      <c r="F11" s="10" t="s">
        <v>696</v>
      </c>
      <c r="G11" s="10" t="s">
        <v>1469</v>
      </c>
      <c r="H11" s="10">
        <f t="shared" si="0"/>
        <v>0</v>
      </c>
      <c r="I11" s="31"/>
      <c r="J11" s="31">
        <f>IFERROR(G11/MAX(1,F11),0)</f>
        <v>65</v>
      </c>
      <c r="K11" s="10" t="s">
        <v>644</v>
      </c>
      <c r="L11" s="10" t="s">
        <v>184</v>
      </c>
      <c r="M11" s="10" t="s">
        <v>69</v>
      </c>
    </row>
    <row r="12" spans="1:13" ht="15" customHeight="1" x14ac:dyDescent="0.35">
      <c r="A12" s="11" t="s">
        <v>1470</v>
      </c>
      <c r="B12" s="11" t="s">
        <v>1471</v>
      </c>
      <c r="C12" s="11" t="s">
        <v>141</v>
      </c>
      <c r="D12" s="11" t="s">
        <v>141</v>
      </c>
      <c r="E12" s="11" t="s">
        <v>1358</v>
      </c>
      <c r="F12" s="11" t="s">
        <v>696</v>
      </c>
      <c r="G12" s="11" t="s">
        <v>657</v>
      </c>
      <c r="H12" s="11">
        <f t="shared" si="0"/>
        <v>0</v>
      </c>
      <c r="I12" s="30">
        <f>IFERROR(F12/MAX(1,E12),0)</f>
        <v>800</v>
      </c>
      <c r="J12" s="30">
        <f>IFERROR(G12/MAX(1,F12),0)</f>
        <v>150</v>
      </c>
      <c r="K12" s="11" t="s">
        <v>644</v>
      </c>
      <c r="L12" s="11" t="s">
        <v>230</v>
      </c>
      <c r="M12" s="11" t="s">
        <v>294</v>
      </c>
    </row>
    <row r="13" spans="1:13" ht="15" customHeight="1" x14ac:dyDescent="0.35">
      <c r="A13" s="10" t="s">
        <v>1472</v>
      </c>
      <c r="B13" s="10" t="s">
        <v>1473</v>
      </c>
      <c r="C13" s="10" t="s">
        <v>429</v>
      </c>
      <c r="D13" s="10" t="s">
        <v>141</v>
      </c>
      <c r="E13" s="10"/>
      <c r="F13" s="10"/>
      <c r="G13" s="10" t="s">
        <v>141</v>
      </c>
      <c r="H13" s="10">
        <f t="shared" si="0"/>
        <v>0</v>
      </c>
      <c r="I13" s="31"/>
      <c r="J13" s="31"/>
      <c r="K13" s="10"/>
      <c r="L13" s="10" t="s">
        <v>230</v>
      </c>
      <c r="M13" s="10" t="s">
        <v>66</v>
      </c>
    </row>
    <row r="16" spans="1:13" ht="15" customHeight="1" x14ac:dyDescent="0.35">
      <c r="A16" s="1" t="s">
        <v>1474</v>
      </c>
      <c r="B16" s="1"/>
      <c r="C16" s="1"/>
      <c r="D16" s="1"/>
      <c r="E16" s="1"/>
      <c r="F16" s="1"/>
    </row>
    <row r="17" spans="1:6" ht="23.25" customHeight="1" x14ac:dyDescent="0.35">
      <c r="A17" s="13" t="s">
        <v>1439</v>
      </c>
      <c r="B17" s="13" t="s">
        <v>1475</v>
      </c>
      <c r="C17" s="13" t="s">
        <v>1476</v>
      </c>
      <c r="D17" s="13" t="s">
        <v>1477</v>
      </c>
      <c r="E17" s="13" t="s">
        <v>1478</v>
      </c>
      <c r="F17" s="13" t="s">
        <v>118</v>
      </c>
    </row>
    <row r="18" spans="1:6" ht="34.5" customHeight="1" x14ac:dyDescent="0.35">
      <c r="A18" s="11" t="s">
        <v>1479</v>
      </c>
      <c r="B18" s="11">
        <f>IFERROR(SUMIF(B6:B13,"Instagram + Facebook",C6:C13),0)</f>
        <v>0</v>
      </c>
      <c r="C18" s="11">
        <f>IFERROR(SUMIF(B6:B13,"Instagram + Facebook",G6:G13),0)</f>
        <v>0</v>
      </c>
      <c r="D18" s="11">
        <f>IFERROR(B18/MAX(1,C18),0)</f>
        <v>0</v>
      </c>
      <c r="E18" s="11" t="s">
        <v>377</v>
      </c>
      <c r="F18" s="11" t="s">
        <v>1480</v>
      </c>
    </row>
    <row r="19" spans="1:6" ht="34.5" customHeight="1" x14ac:dyDescent="0.35">
      <c r="A19" s="10" t="s">
        <v>1454</v>
      </c>
      <c r="B19" s="10" t="s">
        <v>465</v>
      </c>
      <c r="C19" s="10" t="s">
        <v>1456</v>
      </c>
      <c r="D19" s="10">
        <f>IFERROR(B19/MAX(1,C19),0)</f>
        <v>30000</v>
      </c>
      <c r="E19" s="10" t="s">
        <v>397</v>
      </c>
      <c r="F19" s="10" t="s">
        <v>1481</v>
      </c>
    </row>
    <row r="20" spans="1:6" ht="34.5" customHeight="1" x14ac:dyDescent="0.35">
      <c r="A20" s="11" t="s">
        <v>1120</v>
      </c>
      <c r="B20" s="11" t="s">
        <v>448</v>
      </c>
      <c r="C20" s="11" t="s">
        <v>1464</v>
      </c>
      <c r="D20" s="11">
        <f>IFERROR(B20/MAX(1,C20),0)</f>
        <v>10000</v>
      </c>
      <c r="E20" s="11" t="s">
        <v>377</v>
      </c>
      <c r="F20" s="11" t="s">
        <v>1482</v>
      </c>
    </row>
    <row r="21" spans="1:6" ht="23.25" customHeight="1" x14ac:dyDescent="0.35">
      <c r="A21" s="10" t="s">
        <v>1468</v>
      </c>
      <c r="B21" s="10" t="s">
        <v>141</v>
      </c>
      <c r="C21" s="10" t="s">
        <v>1469</v>
      </c>
      <c r="D21" s="10" t="s">
        <v>141</v>
      </c>
      <c r="E21" s="10" t="s">
        <v>397</v>
      </c>
      <c r="F21" s="10" t="s">
        <v>1483</v>
      </c>
    </row>
  </sheetData>
  <mergeCells count="4">
    <mergeCell ref="A1:L1"/>
    <mergeCell ref="A2:L2"/>
    <mergeCell ref="A3:L3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C4899"/>
  </sheetPr>
  <dimension ref="A1:K15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38" customWidth="1"/>
    <col min="3" max="3" width="16" customWidth="1"/>
    <col min="4" max="4" width="14" customWidth="1"/>
    <col min="5" max="5" width="16" customWidth="1"/>
    <col min="6" max="6" width="22" customWidth="1"/>
    <col min="7" max="7" width="14" customWidth="1"/>
    <col min="8" max="8" width="12" customWidth="1"/>
    <col min="9" max="10" width="10" customWidth="1"/>
    <col min="11" max="11" width="28" customWidth="1"/>
  </cols>
  <sheetData>
    <row r="1" spans="1:11" ht="39.75" customHeight="1" x14ac:dyDescent="0.35">
      <c r="A1" s="7" t="s">
        <v>1484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1.75" customHeight="1" x14ac:dyDescent="0.35">
      <c r="A2" s="6" t="s">
        <v>1485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spans="1:11" ht="23.25" customHeight="1" x14ac:dyDescent="0.35">
      <c r="A5" s="13" t="s">
        <v>677</v>
      </c>
      <c r="B5" s="13" t="s">
        <v>1486</v>
      </c>
      <c r="C5" s="13" t="s">
        <v>750</v>
      </c>
      <c r="D5" s="13" t="s">
        <v>497</v>
      </c>
      <c r="E5" s="13" t="s">
        <v>1487</v>
      </c>
      <c r="F5" s="13" t="s">
        <v>1488</v>
      </c>
      <c r="G5" s="13" t="s">
        <v>5</v>
      </c>
      <c r="H5" s="13" t="s">
        <v>117</v>
      </c>
      <c r="I5" s="13" t="s">
        <v>1489</v>
      </c>
      <c r="J5" s="13" t="s">
        <v>348</v>
      </c>
      <c r="K5" s="13" t="s">
        <v>118</v>
      </c>
    </row>
    <row r="6" spans="1:11" ht="15" customHeight="1" x14ac:dyDescent="0.35">
      <c r="A6" s="11" t="s">
        <v>474</v>
      </c>
      <c r="B6" s="11" t="s">
        <v>1490</v>
      </c>
      <c r="C6" s="11" t="s">
        <v>1491</v>
      </c>
      <c r="D6" s="11" t="s">
        <v>1492</v>
      </c>
      <c r="E6" s="11" t="s">
        <v>1493</v>
      </c>
      <c r="F6" s="11" t="s">
        <v>1494</v>
      </c>
      <c r="G6" s="11" t="s">
        <v>69</v>
      </c>
      <c r="H6" s="11" t="s">
        <v>457</v>
      </c>
      <c r="I6" s="11" t="s">
        <v>1358</v>
      </c>
      <c r="J6" s="11" t="s">
        <v>1495</v>
      </c>
      <c r="K6" s="11" t="s">
        <v>1496</v>
      </c>
    </row>
    <row r="7" spans="1:11" ht="15" customHeight="1" x14ac:dyDescent="0.35">
      <c r="A7" s="10" t="s">
        <v>1497</v>
      </c>
      <c r="B7" s="10" t="s">
        <v>1498</v>
      </c>
      <c r="C7" s="10" t="s">
        <v>1499</v>
      </c>
      <c r="D7" s="10" t="s">
        <v>1458</v>
      </c>
      <c r="E7" s="10" t="s">
        <v>1500</v>
      </c>
      <c r="F7" s="10" t="s">
        <v>1501</v>
      </c>
      <c r="G7" s="10" t="s">
        <v>66</v>
      </c>
      <c r="H7" s="10" t="s">
        <v>457</v>
      </c>
      <c r="I7" s="10" t="s">
        <v>1452</v>
      </c>
      <c r="J7" s="10" t="s">
        <v>1502</v>
      </c>
      <c r="K7" s="10" t="s">
        <v>1503</v>
      </c>
    </row>
    <row r="8" spans="1:11" ht="15" customHeight="1" x14ac:dyDescent="0.35">
      <c r="A8" s="11" t="s">
        <v>1170</v>
      </c>
      <c r="B8" s="11" t="s">
        <v>1504</v>
      </c>
      <c r="C8" s="11" t="s">
        <v>1505</v>
      </c>
      <c r="D8" s="11" t="s">
        <v>1084</v>
      </c>
      <c r="E8" s="11" t="s">
        <v>1506</v>
      </c>
      <c r="F8" s="11" t="s">
        <v>1507</v>
      </c>
      <c r="G8" s="11" t="s">
        <v>56</v>
      </c>
      <c r="H8" s="11" t="s">
        <v>457</v>
      </c>
      <c r="I8" s="11" t="s">
        <v>1508</v>
      </c>
      <c r="J8" s="11" t="s">
        <v>1509</v>
      </c>
      <c r="K8" s="11" t="s">
        <v>1510</v>
      </c>
    </row>
    <row r="9" spans="1:11" ht="15" customHeight="1" x14ac:dyDescent="0.35">
      <c r="A9" s="10" t="s">
        <v>1511</v>
      </c>
      <c r="B9" s="10" t="s">
        <v>1512</v>
      </c>
      <c r="C9" s="10" t="s">
        <v>1499</v>
      </c>
      <c r="D9" s="10" t="s">
        <v>1513</v>
      </c>
      <c r="E9" s="10" t="s">
        <v>1514</v>
      </c>
      <c r="F9" s="10" t="s">
        <v>1515</v>
      </c>
      <c r="G9" s="10" t="s">
        <v>96</v>
      </c>
      <c r="H9" s="10" t="s">
        <v>1516</v>
      </c>
      <c r="I9" s="10"/>
      <c r="J9" s="10"/>
      <c r="K9" s="10"/>
    </row>
    <row r="10" spans="1:11" ht="15" customHeight="1" x14ac:dyDescent="0.35">
      <c r="A10" s="11" t="s">
        <v>356</v>
      </c>
      <c r="B10" s="11" t="s">
        <v>1517</v>
      </c>
      <c r="C10" s="11" t="s">
        <v>1518</v>
      </c>
      <c r="D10" s="11" t="s">
        <v>1268</v>
      </c>
      <c r="E10" s="11" t="s">
        <v>1519</v>
      </c>
      <c r="F10" s="11" t="s">
        <v>1520</v>
      </c>
      <c r="G10" s="11" t="s">
        <v>69</v>
      </c>
      <c r="H10" s="11" t="s">
        <v>517</v>
      </c>
      <c r="I10" s="11"/>
      <c r="J10" s="11"/>
      <c r="K10" s="11" t="s">
        <v>1521</v>
      </c>
    </row>
    <row r="11" spans="1:11" ht="15" customHeight="1" x14ac:dyDescent="0.35">
      <c r="A11" s="10" t="s">
        <v>1190</v>
      </c>
      <c r="B11" s="10" t="s">
        <v>1522</v>
      </c>
      <c r="C11" s="10" t="s">
        <v>1491</v>
      </c>
      <c r="D11" s="10" t="s">
        <v>1466</v>
      </c>
      <c r="E11" s="10" t="s">
        <v>1523</v>
      </c>
      <c r="F11" s="10" t="s">
        <v>1524</v>
      </c>
      <c r="G11" s="10" t="s">
        <v>69</v>
      </c>
      <c r="H11" s="10" t="s">
        <v>230</v>
      </c>
      <c r="I11" s="10"/>
      <c r="J11" s="10"/>
      <c r="K11" s="10" t="s">
        <v>1525</v>
      </c>
    </row>
    <row r="12" spans="1:11" ht="15" customHeight="1" x14ac:dyDescent="0.35">
      <c r="A12" s="11" t="s">
        <v>194</v>
      </c>
      <c r="B12" s="11" t="s">
        <v>1526</v>
      </c>
      <c r="C12" s="11" t="s">
        <v>1527</v>
      </c>
      <c r="D12" s="11" t="s">
        <v>1156</v>
      </c>
      <c r="E12" s="11" t="s">
        <v>1528</v>
      </c>
      <c r="F12" s="11" t="s">
        <v>1529</v>
      </c>
      <c r="G12" s="11" t="s">
        <v>66</v>
      </c>
      <c r="H12" s="11" t="s">
        <v>230</v>
      </c>
      <c r="I12" s="11"/>
      <c r="J12" s="11"/>
      <c r="K12" s="11" t="s">
        <v>1530</v>
      </c>
    </row>
    <row r="13" spans="1:11" ht="15" customHeight="1" x14ac:dyDescent="0.35">
      <c r="A13" s="10" t="s">
        <v>1531</v>
      </c>
      <c r="B13" s="10" t="s">
        <v>1532</v>
      </c>
      <c r="C13" s="10" t="s">
        <v>1533</v>
      </c>
      <c r="D13" s="10" t="s">
        <v>1084</v>
      </c>
      <c r="E13" s="10" t="s">
        <v>1534</v>
      </c>
      <c r="F13" s="10" t="s">
        <v>1535</v>
      </c>
      <c r="G13" s="10" t="s">
        <v>56</v>
      </c>
      <c r="H13" s="10" t="s">
        <v>230</v>
      </c>
      <c r="I13" s="10"/>
      <c r="J13" s="10"/>
      <c r="K13" s="10" t="s">
        <v>1536</v>
      </c>
    </row>
    <row r="14" spans="1:11" ht="15" customHeight="1" x14ac:dyDescent="0.35">
      <c r="A14" s="11" t="s">
        <v>1537</v>
      </c>
      <c r="B14" s="11" t="s">
        <v>1538</v>
      </c>
      <c r="C14" s="11" t="s">
        <v>1539</v>
      </c>
      <c r="D14" s="11" t="s">
        <v>1492</v>
      </c>
      <c r="E14" s="11" t="s">
        <v>1540</v>
      </c>
      <c r="F14" s="11" t="s">
        <v>1541</v>
      </c>
      <c r="G14" s="11" t="s">
        <v>96</v>
      </c>
      <c r="H14" s="11" t="s">
        <v>230</v>
      </c>
      <c r="I14" s="11"/>
      <c r="J14" s="11"/>
      <c r="K14" s="11" t="s">
        <v>1542</v>
      </c>
    </row>
    <row r="15" spans="1:11" ht="15" customHeight="1" x14ac:dyDescent="0.35">
      <c r="A15" s="10" t="s">
        <v>1543</v>
      </c>
      <c r="B15" s="10" t="s">
        <v>1544</v>
      </c>
      <c r="C15" s="10" t="s">
        <v>1545</v>
      </c>
      <c r="D15" s="10" t="s">
        <v>1546</v>
      </c>
      <c r="E15" s="10" t="s">
        <v>1547</v>
      </c>
      <c r="F15" s="10" t="s">
        <v>1515</v>
      </c>
      <c r="G15" s="10" t="s">
        <v>66</v>
      </c>
      <c r="H15" s="10" t="s">
        <v>230</v>
      </c>
      <c r="I15" s="10"/>
      <c r="J15" s="10"/>
      <c r="K15" s="10" t="s">
        <v>1548</v>
      </c>
    </row>
  </sheetData>
  <mergeCells count="3">
    <mergeCell ref="A1:K1"/>
    <mergeCell ref="A2:K2"/>
    <mergeCell ref="A3:K3"/>
  </mergeCells>
  <dataValidations count="2">
    <dataValidation type="list" allowBlank="1" sqref="H6:H60" xr:uid="{00000000-0002-0000-1300-000000000000}">
      <formula1>"Draft,Review,Scheduled,Published,Paused"</formula1>
      <formula2>0</formula2>
    </dataValidation>
    <dataValidation type="list" allowBlank="1" sqref="D6:D60" xr:uid="{00000000-0002-0000-1300-000001000000}">
      <formula1>"Instagram,YouTube,LinkedIn,Twitter/X,WhatsApp,Website,Email"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4B8A6"/>
  </sheetPr>
  <dimension ref="A1:K24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10" customWidth="1"/>
    <col min="3" max="3" width="14" customWidth="1"/>
    <col min="4" max="4" width="10" customWidth="1"/>
    <col min="5" max="5" width="14" customWidth="1"/>
    <col min="6" max="6" width="36" customWidth="1"/>
    <col min="7" max="7" width="28" customWidth="1"/>
    <col min="8" max="8" width="10" customWidth="1"/>
    <col min="9" max="10" width="14" customWidth="1"/>
    <col min="11" max="11" width="24" customWidth="1"/>
  </cols>
  <sheetData>
    <row r="1" spans="1:11" ht="39.75" customHeight="1" x14ac:dyDescent="0.35">
      <c r="A1" s="7" t="s">
        <v>1549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1.75" customHeight="1" x14ac:dyDescent="0.35">
      <c r="A2" s="6" t="s">
        <v>1550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spans="1:11" ht="15" customHeight="1" x14ac:dyDescent="0.35">
      <c r="A5" s="13" t="s">
        <v>677</v>
      </c>
      <c r="B5" s="13" t="s">
        <v>1551</v>
      </c>
      <c r="C5" s="13" t="s">
        <v>1074</v>
      </c>
      <c r="D5" s="13" t="s">
        <v>157</v>
      </c>
      <c r="E5" s="13" t="s">
        <v>208</v>
      </c>
      <c r="F5" s="13" t="s">
        <v>1552</v>
      </c>
      <c r="G5" s="13" t="s">
        <v>1553</v>
      </c>
      <c r="H5" s="13" t="s">
        <v>238</v>
      </c>
      <c r="I5" s="13" t="s">
        <v>117</v>
      </c>
      <c r="J5" s="13" t="s">
        <v>5</v>
      </c>
      <c r="K5" s="13" t="s">
        <v>1554</v>
      </c>
    </row>
    <row r="6" spans="1:11" ht="15" customHeight="1" x14ac:dyDescent="0.35">
      <c r="A6" s="11" t="s">
        <v>474</v>
      </c>
      <c r="B6" s="11" t="s">
        <v>1555</v>
      </c>
      <c r="C6" s="11" t="s">
        <v>1556</v>
      </c>
      <c r="D6" s="11" t="s">
        <v>392</v>
      </c>
      <c r="E6" s="11" t="s">
        <v>1557</v>
      </c>
      <c r="F6" s="11" t="s">
        <v>1558</v>
      </c>
      <c r="G6" s="11" t="s">
        <v>1559</v>
      </c>
      <c r="H6" s="11" t="s">
        <v>219</v>
      </c>
      <c r="I6" s="11" t="s">
        <v>1560</v>
      </c>
      <c r="J6" s="11" t="s">
        <v>1561</v>
      </c>
      <c r="K6" s="11" t="s">
        <v>1562</v>
      </c>
    </row>
    <row r="7" spans="1:11" ht="15" customHeight="1" x14ac:dyDescent="0.35">
      <c r="A7" s="10" t="s">
        <v>474</v>
      </c>
      <c r="B7" s="10" t="s">
        <v>1563</v>
      </c>
      <c r="C7" s="10" t="s">
        <v>1556</v>
      </c>
      <c r="D7" s="10" t="s">
        <v>387</v>
      </c>
      <c r="E7" s="10" t="s">
        <v>293</v>
      </c>
      <c r="F7" s="10" t="s">
        <v>1564</v>
      </c>
      <c r="G7" s="10" t="s">
        <v>1565</v>
      </c>
      <c r="H7" s="10" t="s">
        <v>215</v>
      </c>
      <c r="I7" s="10" t="s">
        <v>1566</v>
      </c>
      <c r="J7" s="10" t="s">
        <v>161</v>
      </c>
      <c r="K7" s="10" t="s">
        <v>1567</v>
      </c>
    </row>
    <row r="8" spans="1:11" ht="23.25" customHeight="1" x14ac:dyDescent="0.35">
      <c r="A8" s="11" t="s">
        <v>1568</v>
      </c>
      <c r="B8" s="11" t="s">
        <v>1569</v>
      </c>
      <c r="C8" s="11" t="s">
        <v>1570</v>
      </c>
      <c r="D8" s="11" t="s">
        <v>410</v>
      </c>
      <c r="E8" s="11" t="s">
        <v>308</v>
      </c>
      <c r="F8" s="11" t="s">
        <v>1571</v>
      </c>
      <c r="G8" s="11" t="s">
        <v>1572</v>
      </c>
      <c r="H8" s="11" t="s">
        <v>215</v>
      </c>
      <c r="I8" s="11" t="s">
        <v>1573</v>
      </c>
      <c r="J8" s="11" t="s">
        <v>36</v>
      </c>
      <c r="K8" s="11" t="s">
        <v>1574</v>
      </c>
    </row>
    <row r="9" spans="1:11" ht="15" customHeight="1" x14ac:dyDescent="0.35">
      <c r="A9" s="10" t="s">
        <v>1568</v>
      </c>
      <c r="B9" s="10" t="s">
        <v>1575</v>
      </c>
      <c r="C9" s="10" t="s">
        <v>1556</v>
      </c>
      <c r="D9" s="10" t="s">
        <v>155</v>
      </c>
      <c r="E9" s="10" t="s">
        <v>1026</v>
      </c>
      <c r="F9" s="10" t="s">
        <v>1576</v>
      </c>
      <c r="G9" s="10"/>
      <c r="H9" s="10" t="s">
        <v>227</v>
      </c>
      <c r="I9" s="10" t="s">
        <v>1577</v>
      </c>
      <c r="J9" s="10"/>
      <c r="K9" s="10"/>
    </row>
    <row r="10" spans="1:11" ht="15" customHeight="1" x14ac:dyDescent="0.35">
      <c r="A10" s="11" t="s">
        <v>1497</v>
      </c>
      <c r="B10" s="11" t="s">
        <v>1578</v>
      </c>
      <c r="C10" s="11" t="s">
        <v>1579</v>
      </c>
      <c r="D10" s="11" t="s">
        <v>152</v>
      </c>
      <c r="E10" s="11" t="s">
        <v>293</v>
      </c>
      <c r="F10" s="11" t="s">
        <v>1580</v>
      </c>
      <c r="G10" s="11" t="s">
        <v>1581</v>
      </c>
      <c r="H10" s="11" t="s">
        <v>228</v>
      </c>
      <c r="I10" s="11" t="s">
        <v>197</v>
      </c>
      <c r="J10" s="11" t="s">
        <v>33</v>
      </c>
      <c r="K10" s="11" t="s">
        <v>1582</v>
      </c>
    </row>
    <row r="11" spans="1:11" ht="15" customHeight="1" x14ac:dyDescent="0.35">
      <c r="A11" s="10" t="s">
        <v>1497</v>
      </c>
      <c r="B11" s="10" t="s">
        <v>1583</v>
      </c>
      <c r="C11" s="10" t="s">
        <v>1556</v>
      </c>
      <c r="D11" s="10" t="s">
        <v>392</v>
      </c>
      <c r="E11" s="10" t="s">
        <v>293</v>
      </c>
      <c r="F11" s="10" t="s">
        <v>1584</v>
      </c>
      <c r="G11" s="10" t="s">
        <v>1585</v>
      </c>
      <c r="H11" s="10" t="s">
        <v>219</v>
      </c>
      <c r="I11" s="10" t="s">
        <v>1573</v>
      </c>
      <c r="J11" s="10" t="s">
        <v>161</v>
      </c>
      <c r="K11" s="10"/>
    </row>
    <row r="12" spans="1:11" ht="15" customHeight="1" x14ac:dyDescent="0.35">
      <c r="A12" s="11" t="s">
        <v>1586</v>
      </c>
      <c r="B12" s="11" t="s">
        <v>1587</v>
      </c>
      <c r="C12" s="11" t="s">
        <v>1588</v>
      </c>
      <c r="D12" s="11" t="s">
        <v>258</v>
      </c>
      <c r="E12" s="11" t="s">
        <v>1589</v>
      </c>
      <c r="F12" s="11" t="s">
        <v>1590</v>
      </c>
      <c r="G12" s="11" t="s">
        <v>1591</v>
      </c>
      <c r="H12" s="11" t="s">
        <v>215</v>
      </c>
      <c r="I12" s="11" t="s">
        <v>186</v>
      </c>
      <c r="J12" s="11" t="s">
        <v>294</v>
      </c>
      <c r="K12" s="11" t="s">
        <v>1592</v>
      </c>
    </row>
    <row r="13" spans="1:11" ht="15" customHeight="1" x14ac:dyDescent="0.35">
      <c r="A13" s="10" t="s">
        <v>1586</v>
      </c>
      <c r="B13" s="10" t="s">
        <v>1593</v>
      </c>
      <c r="C13" s="10" t="s">
        <v>1556</v>
      </c>
      <c r="D13" s="10" t="s">
        <v>155</v>
      </c>
      <c r="E13" s="10" t="s">
        <v>308</v>
      </c>
      <c r="F13" s="10" t="s">
        <v>1594</v>
      </c>
      <c r="G13" s="10" t="s">
        <v>1595</v>
      </c>
      <c r="H13" s="10" t="s">
        <v>215</v>
      </c>
      <c r="I13" s="10" t="s">
        <v>186</v>
      </c>
      <c r="J13" s="10" t="s">
        <v>284</v>
      </c>
      <c r="K13" s="10" t="s">
        <v>1596</v>
      </c>
    </row>
    <row r="14" spans="1:11" ht="15" customHeight="1" x14ac:dyDescent="0.35">
      <c r="A14" s="11" t="s">
        <v>1170</v>
      </c>
      <c r="B14" s="11" t="s">
        <v>1597</v>
      </c>
      <c r="C14" s="11" t="s">
        <v>1579</v>
      </c>
      <c r="D14" s="11" t="s">
        <v>387</v>
      </c>
      <c r="E14" s="11" t="s">
        <v>1598</v>
      </c>
      <c r="F14" s="11" t="s">
        <v>1599</v>
      </c>
      <c r="G14" s="11" t="s">
        <v>1600</v>
      </c>
      <c r="H14" s="11" t="s">
        <v>215</v>
      </c>
      <c r="I14" s="11" t="s">
        <v>192</v>
      </c>
      <c r="J14" s="11" t="s">
        <v>284</v>
      </c>
      <c r="K14" s="11" t="s">
        <v>1601</v>
      </c>
    </row>
    <row r="15" spans="1:11" ht="15" customHeight="1" x14ac:dyDescent="0.35">
      <c r="A15" s="10" t="s">
        <v>1170</v>
      </c>
      <c r="B15" s="10" t="s">
        <v>1602</v>
      </c>
      <c r="C15" s="10" t="s">
        <v>1556</v>
      </c>
      <c r="D15" s="10" t="s">
        <v>392</v>
      </c>
      <c r="E15" s="10" t="s">
        <v>1603</v>
      </c>
      <c r="F15" s="10" t="s">
        <v>1604</v>
      </c>
      <c r="G15" s="10" t="s">
        <v>1605</v>
      </c>
      <c r="H15" s="10" t="s">
        <v>219</v>
      </c>
      <c r="I15" s="10" t="s">
        <v>201</v>
      </c>
      <c r="J15" s="10" t="s">
        <v>294</v>
      </c>
      <c r="K15" s="10"/>
    </row>
    <row r="18" spans="1:4" ht="15" customHeight="1" x14ac:dyDescent="0.35">
      <c r="A18" s="1" t="s">
        <v>1606</v>
      </c>
      <c r="B18" s="1"/>
      <c r="C18" s="1"/>
      <c r="D18" s="1"/>
    </row>
    <row r="19" spans="1:4" ht="15" customHeight="1" x14ac:dyDescent="0.35">
      <c r="A19" s="12" t="s">
        <v>1607</v>
      </c>
      <c r="B19" s="18">
        <f>COUNTA(D6:D15)</f>
        <v>10</v>
      </c>
    </row>
    <row r="20" spans="1:4" ht="15" customHeight="1" x14ac:dyDescent="0.35">
      <c r="A20" s="12" t="s">
        <v>1608</v>
      </c>
      <c r="B20" s="18">
        <f>IFERROR(AVERAGE(D6:D15),0)</f>
        <v>0</v>
      </c>
    </row>
    <row r="21" spans="1:4" ht="15" customHeight="1" x14ac:dyDescent="0.35">
      <c r="A21" s="12" t="s">
        <v>1609</v>
      </c>
      <c r="B21" s="18">
        <f>COUNTIF(D6:D15,"&gt;=9")</f>
        <v>0</v>
      </c>
    </row>
    <row r="22" spans="1:4" ht="15" customHeight="1" x14ac:dyDescent="0.35">
      <c r="A22" s="12" t="s">
        <v>1610</v>
      </c>
      <c r="B22" s="18">
        <f>COUNTIFS(D6:D15,"&gt;=7",D6:D15,"&lt;=8")</f>
        <v>0</v>
      </c>
    </row>
    <row r="23" spans="1:4" ht="15" customHeight="1" x14ac:dyDescent="0.35">
      <c r="A23" s="12" t="s">
        <v>1611</v>
      </c>
      <c r="B23" s="18">
        <f>COUNTIF(D6:D15,"&lt;=6")</f>
        <v>0</v>
      </c>
    </row>
    <row r="24" spans="1:4" ht="15" customHeight="1" x14ac:dyDescent="0.35">
      <c r="A24" s="12" t="s">
        <v>1612</v>
      </c>
      <c r="B24" s="19">
        <f>(COUNTIF(D6:D15,"&gt;=9")-COUNTIF(D6:D15,"&lt;=6"))/MAX(1,COUNTA(D6:D15))</f>
        <v>0</v>
      </c>
    </row>
  </sheetData>
  <mergeCells count="4">
    <mergeCell ref="A1:K1"/>
    <mergeCell ref="A2:K2"/>
    <mergeCell ref="A3:K3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F4444"/>
  </sheetPr>
  <dimension ref="A1:L28"/>
  <sheetViews>
    <sheetView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4" customWidth="1"/>
    <col min="2" max="2" width="34" customWidth="1"/>
    <col min="3" max="6" width="14" customWidth="1"/>
    <col min="7" max="7" width="12" customWidth="1"/>
    <col min="8" max="8" width="28" customWidth="1"/>
    <col min="9" max="9" width="10" customWidth="1"/>
    <col min="10" max="10" width="12" customWidth="1"/>
    <col min="11" max="11" width="14" customWidth="1"/>
    <col min="12" max="12" width="12" customWidth="1"/>
  </cols>
  <sheetData>
    <row r="1" spans="1:12" ht="39.75" customHeight="1" x14ac:dyDescent="0.35">
      <c r="A1" s="7" t="s">
        <v>1613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1.75" customHeight="1" x14ac:dyDescent="0.35">
      <c r="A2" s="6" t="s">
        <v>1614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spans="1:12" ht="15" customHeight="1" x14ac:dyDescent="0.35">
      <c r="A5" s="1" t="s">
        <v>1615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5" customHeight="1" x14ac:dyDescent="0.35">
      <c r="A6" s="13" t="s">
        <v>1150</v>
      </c>
      <c r="B6" s="13" t="s">
        <v>423</v>
      </c>
      <c r="C6" s="13" t="s">
        <v>208</v>
      </c>
      <c r="D6" s="13" t="s">
        <v>5</v>
      </c>
      <c r="E6" s="13" t="s">
        <v>117</v>
      </c>
      <c r="F6" s="13" t="s">
        <v>1616</v>
      </c>
      <c r="G6" s="13" t="s">
        <v>1617</v>
      </c>
      <c r="H6" s="13" t="s">
        <v>1618</v>
      </c>
      <c r="I6" s="13" t="s">
        <v>238</v>
      </c>
      <c r="J6" s="13" t="s">
        <v>118</v>
      </c>
    </row>
    <row r="7" spans="1:12" ht="15" customHeight="1" x14ac:dyDescent="0.35">
      <c r="A7" s="10" t="s">
        <v>256</v>
      </c>
      <c r="B7" s="10" t="s">
        <v>1619</v>
      </c>
      <c r="C7" s="10" t="s">
        <v>1620</v>
      </c>
      <c r="D7" s="10" t="s">
        <v>145</v>
      </c>
      <c r="E7" s="10" t="s">
        <v>184</v>
      </c>
      <c r="F7" s="10" t="s">
        <v>1621</v>
      </c>
      <c r="G7" s="10"/>
      <c r="H7" s="10" t="s">
        <v>1622</v>
      </c>
      <c r="I7" s="10" t="s">
        <v>228</v>
      </c>
      <c r="J7" s="10" t="s">
        <v>1623</v>
      </c>
    </row>
    <row r="8" spans="1:12" ht="23.25" customHeight="1" x14ac:dyDescent="0.35">
      <c r="A8" s="11" t="s">
        <v>587</v>
      </c>
      <c r="B8" s="11" t="s">
        <v>1624</v>
      </c>
      <c r="C8" s="11" t="s">
        <v>226</v>
      </c>
      <c r="D8" s="11" t="s">
        <v>50</v>
      </c>
      <c r="E8" s="11" t="s">
        <v>230</v>
      </c>
      <c r="F8" s="11" t="s">
        <v>1625</v>
      </c>
      <c r="G8" s="11"/>
      <c r="H8" s="11"/>
      <c r="I8" s="11" t="s">
        <v>228</v>
      </c>
      <c r="J8" s="11" t="s">
        <v>1626</v>
      </c>
    </row>
    <row r="9" spans="1:12" ht="15" customHeight="1" x14ac:dyDescent="0.35">
      <c r="A9" s="10" t="s">
        <v>142</v>
      </c>
      <c r="B9" s="10" t="s">
        <v>1627</v>
      </c>
      <c r="C9" s="10" t="s">
        <v>1026</v>
      </c>
      <c r="D9" s="10" t="s">
        <v>50</v>
      </c>
      <c r="E9" s="10" t="s">
        <v>230</v>
      </c>
      <c r="F9" s="10" t="s">
        <v>1628</v>
      </c>
      <c r="G9" s="10"/>
      <c r="H9" s="10"/>
      <c r="I9" s="10" t="s">
        <v>228</v>
      </c>
      <c r="J9" s="10" t="s">
        <v>1629</v>
      </c>
    </row>
    <row r="10" spans="1:12" ht="15" customHeight="1" x14ac:dyDescent="0.35">
      <c r="A10" s="11" t="s">
        <v>258</v>
      </c>
      <c r="B10" s="11" t="s">
        <v>1630</v>
      </c>
      <c r="C10" s="11" t="s">
        <v>292</v>
      </c>
      <c r="D10" s="11" t="s">
        <v>294</v>
      </c>
      <c r="E10" s="11" t="s">
        <v>230</v>
      </c>
      <c r="F10" s="11" t="s">
        <v>1631</v>
      </c>
      <c r="G10" s="11"/>
      <c r="H10" s="11" t="s">
        <v>1632</v>
      </c>
      <c r="I10" s="11" t="s">
        <v>228</v>
      </c>
      <c r="J10" s="11"/>
    </row>
    <row r="11" spans="1:12" ht="15" customHeight="1" x14ac:dyDescent="0.35">
      <c r="A11" s="10" t="s">
        <v>152</v>
      </c>
      <c r="B11" s="10" t="s">
        <v>1633</v>
      </c>
      <c r="C11" s="10" t="s">
        <v>292</v>
      </c>
      <c r="D11" s="10" t="s">
        <v>294</v>
      </c>
      <c r="E11" s="10" t="s">
        <v>230</v>
      </c>
      <c r="F11" s="10" t="s">
        <v>1631</v>
      </c>
      <c r="G11" s="10"/>
      <c r="H11" s="10"/>
      <c r="I11" s="10" t="s">
        <v>228</v>
      </c>
      <c r="J11" s="10" t="s">
        <v>1634</v>
      </c>
    </row>
    <row r="12" spans="1:12" ht="15" customHeight="1" x14ac:dyDescent="0.35">
      <c r="A12" s="11" t="s">
        <v>410</v>
      </c>
      <c r="B12" s="11" t="s">
        <v>1635</v>
      </c>
      <c r="C12" s="11" t="s">
        <v>214</v>
      </c>
      <c r="D12" s="11" t="s">
        <v>27</v>
      </c>
      <c r="E12" s="11" t="s">
        <v>177</v>
      </c>
      <c r="F12" s="11" t="s">
        <v>310</v>
      </c>
      <c r="G12" s="11" t="s">
        <v>310</v>
      </c>
      <c r="H12" s="11"/>
      <c r="I12" s="11" t="s">
        <v>215</v>
      </c>
      <c r="J12" s="11"/>
    </row>
    <row r="13" spans="1:12" ht="23.25" customHeight="1" x14ac:dyDescent="0.35">
      <c r="A13" s="10" t="s">
        <v>387</v>
      </c>
      <c r="B13" s="10" t="s">
        <v>1636</v>
      </c>
      <c r="C13" s="10" t="s">
        <v>338</v>
      </c>
      <c r="D13" s="10" t="s">
        <v>50</v>
      </c>
      <c r="E13" s="10" t="s">
        <v>230</v>
      </c>
      <c r="F13" s="10" t="s">
        <v>1621</v>
      </c>
      <c r="G13" s="10"/>
      <c r="H13" s="10"/>
      <c r="I13" s="10" t="s">
        <v>215</v>
      </c>
      <c r="J13" s="10" t="s">
        <v>1637</v>
      </c>
    </row>
    <row r="14" spans="1:12" ht="15" customHeight="1" x14ac:dyDescent="0.35">
      <c r="A14" s="11" t="s">
        <v>155</v>
      </c>
      <c r="B14" s="11" t="s">
        <v>1638</v>
      </c>
      <c r="C14" s="11" t="s">
        <v>338</v>
      </c>
      <c r="D14" s="11" t="s">
        <v>50</v>
      </c>
      <c r="E14" s="11" t="s">
        <v>184</v>
      </c>
      <c r="F14" s="11" t="s">
        <v>1639</v>
      </c>
      <c r="G14" s="11"/>
      <c r="H14" s="11"/>
      <c r="I14" s="11" t="s">
        <v>215</v>
      </c>
      <c r="J14" s="11" t="s">
        <v>1015</v>
      </c>
    </row>
    <row r="15" spans="1:12" ht="15" customHeight="1" x14ac:dyDescent="0.35">
      <c r="A15" s="10" t="s">
        <v>392</v>
      </c>
      <c r="B15" s="10" t="s">
        <v>1640</v>
      </c>
      <c r="C15" s="10" t="s">
        <v>283</v>
      </c>
      <c r="D15" s="10" t="s">
        <v>284</v>
      </c>
      <c r="E15" s="10" t="s">
        <v>177</v>
      </c>
      <c r="F15" s="10" t="s">
        <v>474</v>
      </c>
      <c r="G15" s="10" t="s">
        <v>474</v>
      </c>
      <c r="H15" s="10"/>
      <c r="I15" s="10" t="s">
        <v>215</v>
      </c>
      <c r="J15" s="10"/>
    </row>
    <row r="16" spans="1:12" ht="23.25" customHeight="1" x14ac:dyDescent="0.35">
      <c r="A16" s="11" t="s">
        <v>299</v>
      </c>
      <c r="B16" s="11" t="s">
        <v>1641</v>
      </c>
      <c r="C16" s="11" t="s">
        <v>1561</v>
      </c>
      <c r="D16" s="11" t="s">
        <v>161</v>
      </c>
      <c r="E16" s="11" t="s">
        <v>230</v>
      </c>
      <c r="F16" s="11" t="s">
        <v>1621</v>
      </c>
      <c r="G16" s="11"/>
      <c r="H16" s="11"/>
      <c r="I16" s="11" t="s">
        <v>215</v>
      </c>
      <c r="J16" s="11" t="s">
        <v>1642</v>
      </c>
    </row>
    <row r="17" spans="1:12" ht="23.25" customHeight="1" x14ac:dyDescent="0.35">
      <c r="A17" s="10" t="s">
        <v>1643</v>
      </c>
      <c r="B17" s="10" t="s">
        <v>1644</v>
      </c>
      <c r="C17" s="10" t="s">
        <v>1070</v>
      </c>
      <c r="D17" s="10" t="s">
        <v>87</v>
      </c>
      <c r="E17" s="10" t="s">
        <v>184</v>
      </c>
      <c r="F17" s="10" t="s">
        <v>1625</v>
      </c>
      <c r="G17" s="10"/>
      <c r="H17" s="10"/>
      <c r="I17" s="10" t="s">
        <v>215</v>
      </c>
      <c r="J17" s="10" t="s">
        <v>1645</v>
      </c>
    </row>
    <row r="18" spans="1:12" ht="23.25" customHeight="1" x14ac:dyDescent="0.35">
      <c r="A18" s="11" t="s">
        <v>287</v>
      </c>
      <c r="B18" s="11" t="s">
        <v>1646</v>
      </c>
      <c r="C18" s="11" t="s">
        <v>338</v>
      </c>
      <c r="D18" s="11" t="s">
        <v>50</v>
      </c>
      <c r="E18" s="11" t="s">
        <v>184</v>
      </c>
      <c r="F18" s="11" t="s">
        <v>1647</v>
      </c>
      <c r="G18" s="11"/>
      <c r="H18" s="11"/>
      <c r="I18" s="11" t="s">
        <v>215</v>
      </c>
      <c r="J18" s="11" t="s">
        <v>1648</v>
      </c>
    </row>
    <row r="19" spans="1:12" ht="23.25" customHeight="1" x14ac:dyDescent="0.35">
      <c r="A19" s="10" t="s">
        <v>1649</v>
      </c>
      <c r="B19" s="10" t="s">
        <v>1650</v>
      </c>
      <c r="C19" s="10" t="s">
        <v>254</v>
      </c>
      <c r="D19" s="10" t="s">
        <v>33</v>
      </c>
      <c r="E19" s="10" t="s">
        <v>230</v>
      </c>
      <c r="F19" s="10" t="s">
        <v>1651</v>
      </c>
      <c r="G19" s="10"/>
      <c r="H19" s="10"/>
      <c r="I19" s="10" t="s">
        <v>215</v>
      </c>
      <c r="J19" s="10" t="s">
        <v>1652</v>
      </c>
    </row>
    <row r="20" spans="1:12" ht="23.25" customHeight="1" x14ac:dyDescent="0.35">
      <c r="A20" s="11" t="s">
        <v>127</v>
      </c>
      <c r="B20" s="11" t="s">
        <v>1653</v>
      </c>
      <c r="C20" s="11" t="s">
        <v>880</v>
      </c>
      <c r="D20" s="11" t="s">
        <v>66</v>
      </c>
      <c r="E20" s="11" t="s">
        <v>184</v>
      </c>
      <c r="F20" s="11" t="s">
        <v>1621</v>
      </c>
      <c r="G20" s="11"/>
      <c r="H20" s="11"/>
      <c r="I20" s="11" t="s">
        <v>219</v>
      </c>
      <c r="J20" s="11" t="s">
        <v>1654</v>
      </c>
    </row>
    <row r="21" spans="1:12" ht="15" customHeight="1" x14ac:dyDescent="0.35">
      <c r="A21" s="10" t="s">
        <v>521</v>
      </c>
      <c r="B21" s="10" t="s">
        <v>1655</v>
      </c>
      <c r="C21" s="10" t="s">
        <v>880</v>
      </c>
      <c r="D21" s="10" t="s">
        <v>66</v>
      </c>
      <c r="E21" s="10" t="s">
        <v>230</v>
      </c>
      <c r="F21" s="10" t="s">
        <v>1656</v>
      </c>
      <c r="G21" s="10"/>
      <c r="H21" s="10"/>
      <c r="I21" s="10" t="s">
        <v>219</v>
      </c>
      <c r="J21" s="10" t="s">
        <v>1657</v>
      </c>
    </row>
    <row r="24" spans="1:12" ht="15" customHeight="1" x14ac:dyDescent="0.35">
      <c r="A24" s="1" t="s">
        <v>1658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34.5" customHeight="1" x14ac:dyDescent="0.35">
      <c r="A25" s="13" t="s">
        <v>1659</v>
      </c>
      <c r="B25" s="13" t="s">
        <v>1660</v>
      </c>
      <c r="C25" s="13" t="s">
        <v>1661</v>
      </c>
      <c r="D25" s="13" t="s">
        <v>1662</v>
      </c>
      <c r="E25" s="13" t="s">
        <v>1663</v>
      </c>
      <c r="F25" s="13" t="s">
        <v>1664</v>
      </c>
      <c r="G25" s="13" t="s">
        <v>1665</v>
      </c>
      <c r="H25" s="13" t="s">
        <v>1666</v>
      </c>
      <c r="I25" s="13" t="s">
        <v>1667</v>
      </c>
      <c r="J25" s="13" t="s">
        <v>117</v>
      </c>
      <c r="K25" s="13" t="s">
        <v>5</v>
      </c>
      <c r="L25" s="13" t="s">
        <v>1668</v>
      </c>
    </row>
    <row r="26" spans="1:12" ht="34.5" customHeight="1" x14ac:dyDescent="0.35">
      <c r="A26" s="11" t="s">
        <v>1669</v>
      </c>
      <c r="B26" s="11" t="s">
        <v>1670</v>
      </c>
      <c r="C26" s="11" t="s">
        <v>228</v>
      </c>
      <c r="D26" s="11" t="s">
        <v>1671</v>
      </c>
      <c r="E26" s="11" t="s">
        <v>1672</v>
      </c>
      <c r="F26" s="11" t="s">
        <v>1673</v>
      </c>
      <c r="G26" s="11" t="s">
        <v>1674</v>
      </c>
      <c r="H26" s="11" t="s">
        <v>1675</v>
      </c>
      <c r="I26" s="11" t="s">
        <v>1676</v>
      </c>
      <c r="J26" s="11" t="s">
        <v>1677</v>
      </c>
      <c r="K26" s="11" t="s">
        <v>50</v>
      </c>
      <c r="L26" s="11" t="s">
        <v>377</v>
      </c>
    </row>
    <row r="27" spans="1:12" ht="34.5" customHeight="1" x14ac:dyDescent="0.35">
      <c r="A27" s="10" t="s">
        <v>1678</v>
      </c>
      <c r="B27" s="10" t="s">
        <v>1679</v>
      </c>
      <c r="C27" s="10" t="s">
        <v>215</v>
      </c>
      <c r="D27" s="10" t="s">
        <v>1680</v>
      </c>
      <c r="E27" s="10" t="s">
        <v>1681</v>
      </c>
      <c r="F27" s="10" t="s">
        <v>1682</v>
      </c>
      <c r="G27" s="10" t="s">
        <v>1683</v>
      </c>
      <c r="H27" s="10" t="s">
        <v>1684</v>
      </c>
      <c r="I27" s="10" t="s">
        <v>1685</v>
      </c>
      <c r="J27" s="10" t="s">
        <v>1677</v>
      </c>
      <c r="K27" s="10" t="s">
        <v>284</v>
      </c>
      <c r="L27" s="10" t="s">
        <v>377</v>
      </c>
    </row>
    <row r="28" spans="1:12" ht="34.5" customHeight="1" x14ac:dyDescent="0.35">
      <c r="A28" s="11" t="s">
        <v>1686</v>
      </c>
      <c r="B28" s="11" t="s">
        <v>1687</v>
      </c>
      <c r="C28" s="11" t="s">
        <v>219</v>
      </c>
      <c r="D28" s="11" t="s">
        <v>609</v>
      </c>
      <c r="E28" s="11" t="s">
        <v>1688</v>
      </c>
      <c r="F28" s="11" t="s">
        <v>1689</v>
      </c>
      <c r="G28" s="11" t="s">
        <v>1690</v>
      </c>
      <c r="H28" s="11" t="s">
        <v>1691</v>
      </c>
      <c r="I28" s="11" t="s">
        <v>1692</v>
      </c>
      <c r="J28" s="11" t="s">
        <v>1677</v>
      </c>
      <c r="K28" s="11" t="s">
        <v>36</v>
      </c>
      <c r="L28" s="11" t="s">
        <v>397</v>
      </c>
    </row>
  </sheetData>
  <mergeCells count="5">
    <mergeCell ref="A1:L1"/>
    <mergeCell ref="A2:L2"/>
    <mergeCell ref="A3:L3"/>
    <mergeCell ref="A5:L5"/>
    <mergeCell ref="A24:L24"/>
  </mergeCells>
  <dataValidations count="2">
    <dataValidation type="list" allowBlank="1" sqref="E7:E22" xr:uid="{00000000-0002-0000-1500-000000000000}">
      <formula1>"Not Started,In Progress,Done,Blocked"</formula1>
      <formula2>0</formula2>
    </dataValidation>
    <dataValidation type="list" allowBlank="1" sqref="I7:I22" xr:uid="{00000000-0002-0000-1500-000001000000}">
      <formula1>"Critical,High,Medium,Low"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7B2FBE"/>
  </sheetPr>
  <dimension ref="A1:J45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32" customWidth="1"/>
    <col min="2" max="3" width="16" customWidth="1"/>
    <col min="4" max="4" width="14" customWidth="1"/>
    <col min="5" max="5" width="12" customWidth="1"/>
    <col min="6" max="6" width="10" customWidth="1"/>
    <col min="7" max="7" width="14" customWidth="1"/>
    <col min="8" max="8" width="12" customWidth="1"/>
  </cols>
  <sheetData>
    <row r="1" spans="1:10" ht="39.75" customHeight="1" x14ac:dyDescent="0.35">
      <c r="A1" s="7" t="s">
        <v>1693</v>
      </c>
      <c r="B1" s="7"/>
      <c r="C1" s="7"/>
      <c r="D1" s="7"/>
      <c r="E1" s="7"/>
      <c r="F1" s="7"/>
      <c r="G1" s="7"/>
      <c r="H1" s="7"/>
      <c r="I1" s="7"/>
      <c r="J1" s="7"/>
    </row>
    <row r="2" spans="1:10" ht="21.75" customHeight="1" x14ac:dyDescent="0.35">
      <c r="A2" s="6" t="s">
        <v>1694</v>
      </c>
      <c r="B2" s="6"/>
      <c r="C2" s="6"/>
      <c r="D2" s="6"/>
      <c r="E2" s="6"/>
      <c r="F2" s="6"/>
      <c r="G2" s="6"/>
      <c r="H2" s="6"/>
      <c r="I2" s="6"/>
      <c r="J2" s="6"/>
    </row>
    <row r="3" spans="1:10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5" spans="1:10" ht="15" customHeight="1" x14ac:dyDescent="0.35">
      <c r="A5" s="1" t="s">
        <v>1695</v>
      </c>
      <c r="B5" s="1"/>
      <c r="C5" s="1"/>
      <c r="D5" s="1"/>
      <c r="E5" s="1"/>
      <c r="F5" s="1"/>
      <c r="G5" s="1"/>
      <c r="H5" s="1"/>
    </row>
    <row r="6" spans="1:10" ht="15" customHeight="1" x14ac:dyDescent="0.35">
      <c r="A6" s="13" t="s">
        <v>113</v>
      </c>
      <c r="B6" s="13" t="s">
        <v>1696</v>
      </c>
      <c r="C6" s="13" t="s">
        <v>1697</v>
      </c>
      <c r="D6" s="13" t="s">
        <v>1698</v>
      </c>
      <c r="E6" s="13" t="s">
        <v>1699</v>
      </c>
      <c r="F6" s="13" t="s">
        <v>1700</v>
      </c>
      <c r="G6" s="13" t="s">
        <v>1701</v>
      </c>
      <c r="H6" s="13" t="s">
        <v>117</v>
      </c>
    </row>
    <row r="7" spans="1:10" ht="15" customHeight="1" x14ac:dyDescent="0.35">
      <c r="A7" s="32" t="s">
        <v>119</v>
      </c>
      <c r="B7" s="32" t="s">
        <v>120</v>
      </c>
      <c r="C7" s="32" t="s">
        <v>1702</v>
      </c>
      <c r="D7" s="32" t="s">
        <v>1703</v>
      </c>
      <c r="E7" s="32"/>
      <c r="F7" s="32"/>
      <c r="G7" s="32"/>
      <c r="H7" s="33" t="s">
        <v>121</v>
      </c>
    </row>
    <row r="8" spans="1:10" ht="15" customHeight="1" x14ac:dyDescent="0.35">
      <c r="A8" s="34" t="s">
        <v>1704</v>
      </c>
      <c r="B8" s="34" t="s">
        <v>987</v>
      </c>
      <c r="C8" s="34" t="s">
        <v>1705</v>
      </c>
      <c r="D8" s="34" t="s">
        <v>1706</v>
      </c>
      <c r="E8" s="34"/>
      <c r="F8" s="34"/>
      <c r="G8" s="34"/>
      <c r="H8" s="33" t="s">
        <v>121</v>
      </c>
    </row>
    <row r="9" spans="1:10" ht="15" customHeight="1" x14ac:dyDescent="0.35">
      <c r="A9" s="32" t="s">
        <v>1707</v>
      </c>
      <c r="B9" s="32" t="s">
        <v>360</v>
      </c>
      <c r="C9" s="32" t="s">
        <v>1508</v>
      </c>
      <c r="D9" s="32" t="s">
        <v>1708</v>
      </c>
      <c r="E9" s="32"/>
      <c r="F9" s="32"/>
      <c r="G9" s="32"/>
      <c r="H9" s="33" t="s">
        <v>121</v>
      </c>
    </row>
    <row r="10" spans="1:10" ht="15" customHeight="1" x14ac:dyDescent="0.35">
      <c r="A10" s="34" t="s">
        <v>1709</v>
      </c>
      <c r="B10" s="34" t="s">
        <v>696</v>
      </c>
      <c r="C10" s="34" t="s">
        <v>1710</v>
      </c>
      <c r="D10" s="34" t="s">
        <v>1711</v>
      </c>
      <c r="E10" s="34"/>
      <c r="F10" s="34"/>
      <c r="G10" s="34"/>
      <c r="H10" s="33" t="s">
        <v>121</v>
      </c>
    </row>
    <row r="11" spans="1:10" ht="15" customHeight="1" x14ac:dyDescent="0.35">
      <c r="A11" s="32" t="s">
        <v>1712</v>
      </c>
      <c r="B11" s="32" t="s">
        <v>1713</v>
      </c>
      <c r="C11" s="32">
        <f>IFERROR(387/1240,0)</f>
        <v>0.31209677419354837</v>
      </c>
      <c r="D11" s="32"/>
      <c r="E11" s="32"/>
      <c r="F11" s="32"/>
      <c r="G11" s="32"/>
      <c r="H11" s="35" t="s">
        <v>129</v>
      </c>
    </row>
    <row r="12" spans="1:10" ht="15" customHeight="1" x14ac:dyDescent="0.35">
      <c r="A12" s="34" t="s">
        <v>1714</v>
      </c>
      <c r="B12" s="34" t="s">
        <v>1715</v>
      </c>
      <c r="C12" s="34" t="s">
        <v>1716</v>
      </c>
      <c r="D12" s="34" t="s">
        <v>1717</v>
      </c>
      <c r="E12" s="34"/>
      <c r="F12" s="34"/>
      <c r="G12" s="34"/>
      <c r="H12" s="35" t="s">
        <v>129</v>
      </c>
    </row>
    <row r="13" spans="1:10" ht="15" customHeight="1" x14ac:dyDescent="0.35">
      <c r="A13" s="32" t="s">
        <v>1718</v>
      </c>
      <c r="B13" s="32" t="s">
        <v>515</v>
      </c>
      <c r="C13" s="32" t="s">
        <v>1719</v>
      </c>
      <c r="D13" s="32" t="s">
        <v>1720</v>
      </c>
      <c r="E13" s="32"/>
      <c r="F13" s="32"/>
      <c r="G13" s="32"/>
      <c r="H13" s="33" t="s">
        <v>121</v>
      </c>
    </row>
    <row r="14" spans="1:10" ht="15" customHeight="1" x14ac:dyDescent="0.35">
      <c r="A14" s="34" t="s">
        <v>157</v>
      </c>
      <c r="B14" s="34" t="s">
        <v>196</v>
      </c>
      <c r="C14" s="34" t="s">
        <v>159</v>
      </c>
      <c r="D14" s="34" t="s">
        <v>1721</v>
      </c>
      <c r="E14" s="34"/>
      <c r="F14" s="34"/>
      <c r="G14" s="34"/>
      <c r="H14" s="35" t="s">
        <v>129</v>
      </c>
    </row>
    <row r="16" spans="1:10" ht="15" customHeight="1" x14ac:dyDescent="0.35">
      <c r="A16" s="1" t="s">
        <v>1722</v>
      </c>
      <c r="B16" s="1"/>
      <c r="C16" s="1"/>
      <c r="D16" s="1"/>
      <c r="E16" s="1"/>
      <c r="F16" s="1"/>
      <c r="G16" s="1"/>
      <c r="H16" s="1"/>
    </row>
    <row r="17" spans="1:8" ht="15" customHeight="1" x14ac:dyDescent="0.35">
      <c r="A17" s="13" t="s">
        <v>113</v>
      </c>
      <c r="B17" s="13" t="s">
        <v>114</v>
      </c>
      <c r="C17" s="13" t="s">
        <v>115</v>
      </c>
      <c r="D17" s="13" t="s">
        <v>1723</v>
      </c>
      <c r="E17" s="13"/>
      <c r="F17" s="13"/>
      <c r="G17" s="13" t="s">
        <v>1724</v>
      </c>
      <c r="H17" s="13" t="s">
        <v>117</v>
      </c>
    </row>
    <row r="18" spans="1:8" ht="15" customHeight="1" x14ac:dyDescent="0.35">
      <c r="A18" s="34" t="s">
        <v>1725</v>
      </c>
      <c r="B18" s="34" t="s">
        <v>483</v>
      </c>
      <c r="C18" s="34" t="s">
        <v>1726</v>
      </c>
      <c r="D18" s="34" t="s">
        <v>1727</v>
      </c>
      <c r="E18" s="34"/>
      <c r="F18" s="34"/>
      <c r="G18" s="34"/>
      <c r="H18" s="33" t="s">
        <v>121</v>
      </c>
    </row>
    <row r="19" spans="1:8" ht="15" customHeight="1" x14ac:dyDescent="0.35">
      <c r="A19" s="32" t="s">
        <v>1728</v>
      </c>
      <c r="B19" s="32" t="s">
        <v>1729</v>
      </c>
      <c r="C19" s="32">
        <f>IFERROR(C18*12,0)</f>
        <v>456000</v>
      </c>
      <c r="D19" s="32">
        <f>IFERROR(D18*12,0)</f>
        <v>216000</v>
      </c>
      <c r="E19" s="32"/>
      <c r="F19" s="32"/>
      <c r="G19" s="32"/>
      <c r="H19" s="33" t="s">
        <v>121</v>
      </c>
    </row>
    <row r="20" spans="1:8" ht="15" customHeight="1" x14ac:dyDescent="0.35">
      <c r="A20" s="34" t="s">
        <v>1373</v>
      </c>
      <c r="B20" s="34" t="s">
        <v>1730</v>
      </c>
      <c r="C20" s="34" t="s">
        <v>1731</v>
      </c>
      <c r="D20" s="34" t="s">
        <v>1732</v>
      </c>
      <c r="E20" s="34"/>
      <c r="F20" s="34"/>
      <c r="G20" s="34"/>
      <c r="H20" s="33" t="s">
        <v>121</v>
      </c>
    </row>
    <row r="21" spans="1:8" ht="15" customHeight="1" x14ac:dyDescent="0.35">
      <c r="A21" s="32" t="s">
        <v>125</v>
      </c>
      <c r="B21" s="32" t="s">
        <v>126</v>
      </c>
      <c r="C21" s="32" t="s">
        <v>127</v>
      </c>
      <c r="D21" s="32" t="s">
        <v>521</v>
      </c>
      <c r="E21" s="32"/>
      <c r="F21" s="32"/>
      <c r="G21" s="32"/>
      <c r="H21" s="35" t="s">
        <v>129</v>
      </c>
    </row>
    <row r="22" spans="1:8" ht="15" customHeight="1" x14ac:dyDescent="0.35">
      <c r="A22" s="34" t="s">
        <v>1733</v>
      </c>
      <c r="B22" s="34" t="s">
        <v>120</v>
      </c>
      <c r="C22" s="34" t="s">
        <v>1734</v>
      </c>
      <c r="D22" s="34" t="s">
        <v>1735</v>
      </c>
      <c r="E22" s="34"/>
      <c r="F22" s="34"/>
      <c r="G22" s="34"/>
      <c r="H22" s="36" t="s">
        <v>732</v>
      </c>
    </row>
    <row r="23" spans="1:8" ht="15" customHeight="1" x14ac:dyDescent="0.35">
      <c r="A23" s="32" t="s">
        <v>1736</v>
      </c>
      <c r="B23" s="32" t="s">
        <v>987</v>
      </c>
      <c r="C23" s="32" t="s">
        <v>1737</v>
      </c>
      <c r="D23" s="32" t="s">
        <v>665</v>
      </c>
      <c r="E23" s="32"/>
      <c r="F23" s="32"/>
      <c r="G23" s="32"/>
      <c r="H23" s="33" t="s">
        <v>121</v>
      </c>
    </row>
    <row r="24" spans="1:8" ht="15" customHeight="1" x14ac:dyDescent="0.35">
      <c r="A24" s="34" t="s">
        <v>1738</v>
      </c>
      <c r="B24" s="34" t="s">
        <v>1739</v>
      </c>
      <c r="C24" s="34">
        <f>IFERROR(1680/480,0)</f>
        <v>3.5</v>
      </c>
      <c r="D24" s="34"/>
      <c r="E24" s="34"/>
      <c r="F24" s="34"/>
      <c r="G24" s="34"/>
      <c r="H24" s="33" t="s">
        <v>121</v>
      </c>
    </row>
    <row r="25" spans="1:8" ht="15" customHeight="1" x14ac:dyDescent="0.35">
      <c r="A25" s="32" t="s">
        <v>1740</v>
      </c>
      <c r="B25" s="32" t="s">
        <v>1741</v>
      </c>
      <c r="C25" s="32" t="s">
        <v>1742</v>
      </c>
      <c r="D25" s="32" t="s">
        <v>1743</v>
      </c>
      <c r="E25" s="32"/>
      <c r="F25" s="32"/>
      <c r="G25" s="32"/>
      <c r="H25" s="33" t="s">
        <v>121</v>
      </c>
    </row>
    <row r="27" spans="1:8" ht="15" customHeight="1" x14ac:dyDescent="0.35">
      <c r="A27" s="1" t="s">
        <v>1744</v>
      </c>
      <c r="B27" s="1"/>
      <c r="C27" s="1"/>
      <c r="D27" s="1"/>
      <c r="E27" s="1"/>
      <c r="F27" s="1"/>
      <c r="G27" s="1"/>
      <c r="H27" s="1"/>
    </row>
    <row r="28" spans="1:8" ht="15" customHeight="1" x14ac:dyDescent="0.35">
      <c r="A28" s="13" t="s">
        <v>113</v>
      </c>
      <c r="B28" s="13" t="s">
        <v>114</v>
      </c>
      <c r="C28" s="13" t="s">
        <v>115</v>
      </c>
      <c r="D28" s="13" t="s">
        <v>1745</v>
      </c>
      <c r="E28" s="13"/>
      <c r="F28" s="13"/>
      <c r="G28" s="13" t="s">
        <v>1746</v>
      </c>
      <c r="H28" s="13" t="s">
        <v>117</v>
      </c>
    </row>
    <row r="29" spans="1:8" ht="15" customHeight="1" x14ac:dyDescent="0.35">
      <c r="A29" s="32" t="s">
        <v>147</v>
      </c>
      <c r="B29" s="32" t="s">
        <v>148</v>
      </c>
      <c r="C29" s="32" t="s">
        <v>149</v>
      </c>
      <c r="D29" s="32" t="s">
        <v>704</v>
      </c>
      <c r="E29" s="32"/>
      <c r="F29" s="32"/>
      <c r="G29" s="32" t="s">
        <v>1747</v>
      </c>
      <c r="H29" s="33" t="s">
        <v>121</v>
      </c>
    </row>
    <row r="30" spans="1:8" ht="15" customHeight="1" x14ac:dyDescent="0.35">
      <c r="A30" s="34" t="s">
        <v>1748</v>
      </c>
      <c r="B30" s="34" t="s">
        <v>1749</v>
      </c>
      <c r="C30" s="34" t="s">
        <v>682</v>
      </c>
      <c r="D30" s="34" t="s">
        <v>1734</v>
      </c>
      <c r="E30" s="34"/>
      <c r="F30" s="34"/>
      <c r="G30" s="34" t="s">
        <v>1750</v>
      </c>
      <c r="H30" s="36" t="s">
        <v>732</v>
      </c>
    </row>
    <row r="31" spans="1:8" ht="15" customHeight="1" x14ac:dyDescent="0.35">
      <c r="A31" s="32" t="s">
        <v>1751</v>
      </c>
      <c r="B31" s="32" t="s">
        <v>629</v>
      </c>
      <c r="C31" s="32" t="s">
        <v>1752</v>
      </c>
      <c r="D31" s="32" t="s">
        <v>1753</v>
      </c>
      <c r="E31" s="32"/>
      <c r="F31" s="32"/>
      <c r="G31" s="32" t="s">
        <v>1750</v>
      </c>
      <c r="H31" s="36" t="s">
        <v>732</v>
      </c>
    </row>
    <row r="32" spans="1:8" ht="15" customHeight="1" x14ac:dyDescent="0.35">
      <c r="A32" s="34" t="s">
        <v>1754</v>
      </c>
      <c r="B32" s="34" t="s">
        <v>1755</v>
      </c>
      <c r="C32" s="34" t="s">
        <v>1756</v>
      </c>
      <c r="D32" s="34" t="s">
        <v>1757</v>
      </c>
      <c r="E32" s="34"/>
      <c r="F32" s="34"/>
      <c r="G32" s="34" t="s">
        <v>1758</v>
      </c>
      <c r="H32" s="37" t="s">
        <v>144</v>
      </c>
    </row>
    <row r="33" spans="1:8" ht="15" customHeight="1" x14ac:dyDescent="0.35">
      <c r="A33" s="32" t="s">
        <v>1759</v>
      </c>
      <c r="B33" s="32" t="s">
        <v>1760</v>
      </c>
      <c r="C33" s="32" t="s">
        <v>1761</v>
      </c>
      <c r="D33" s="32" t="s">
        <v>1762</v>
      </c>
      <c r="E33" s="32"/>
      <c r="F33" s="32"/>
      <c r="G33" s="32" t="s">
        <v>1747</v>
      </c>
      <c r="H33" s="33" t="s">
        <v>121</v>
      </c>
    </row>
    <row r="34" spans="1:8" ht="15" customHeight="1" x14ac:dyDescent="0.35">
      <c r="A34" s="34" t="s">
        <v>1763</v>
      </c>
      <c r="B34" s="34" t="s">
        <v>704</v>
      </c>
      <c r="C34" s="34" t="s">
        <v>627</v>
      </c>
      <c r="D34" s="34" t="s">
        <v>1764</v>
      </c>
      <c r="E34" s="34"/>
      <c r="F34" s="34"/>
      <c r="G34" s="34" t="s">
        <v>1747</v>
      </c>
      <c r="H34" s="33" t="s">
        <v>121</v>
      </c>
    </row>
    <row r="35" spans="1:8" ht="15" customHeight="1" x14ac:dyDescent="0.35">
      <c r="A35" s="32" t="s">
        <v>1765</v>
      </c>
      <c r="B35" s="32" t="s">
        <v>1766</v>
      </c>
      <c r="C35" s="32" t="s">
        <v>1767</v>
      </c>
      <c r="D35" s="32" t="s">
        <v>1768</v>
      </c>
      <c r="E35" s="32"/>
      <c r="F35" s="32"/>
      <c r="G35" s="32" t="s">
        <v>1747</v>
      </c>
      <c r="H35" s="33" t="s">
        <v>121</v>
      </c>
    </row>
    <row r="37" spans="1:8" ht="15" customHeight="1" x14ac:dyDescent="0.35">
      <c r="A37" s="1" t="s">
        <v>1769</v>
      </c>
      <c r="B37" s="1"/>
      <c r="C37" s="1"/>
      <c r="D37" s="1"/>
      <c r="E37" s="1"/>
      <c r="F37" s="1"/>
      <c r="G37" s="1"/>
      <c r="H37" s="1"/>
    </row>
    <row r="38" spans="1:8" ht="23.25" customHeight="1" x14ac:dyDescent="0.35">
      <c r="A38" s="13" t="s">
        <v>113</v>
      </c>
      <c r="B38" s="13" t="s">
        <v>114</v>
      </c>
      <c r="C38" s="13" t="s">
        <v>115</v>
      </c>
      <c r="D38" s="13" t="s">
        <v>1770</v>
      </c>
      <c r="E38" s="13"/>
      <c r="F38" s="13"/>
      <c r="G38" s="13" t="s">
        <v>1771</v>
      </c>
      <c r="H38" s="13" t="s">
        <v>117</v>
      </c>
    </row>
    <row r="39" spans="1:8" ht="15" customHeight="1" x14ac:dyDescent="0.35">
      <c r="A39" s="32" t="s">
        <v>1772</v>
      </c>
      <c r="B39" s="32" t="s">
        <v>155</v>
      </c>
      <c r="C39" s="32" t="s">
        <v>1773</v>
      </c>
      <c r="D39" s="32" t="s">
        <v>1774</v>
      </c>
      <c r="E39" s="32"/>
      <c r="F39" s="32"/>
      <c r="G39" s="32" t="s">
        <v>1775</v>
      </c>
      <c r="H39" s="36" t="s">
        <v>732</v>
      </c>
    </row>
    <row r="40" spans="1:8" ht="15" customHeight="1" x14ac:dyDescent="0.35">
      <c r="A40" s="34" t="s">
        <v>1776</v>
      </c>
      <c r="B40" s="34" t="s">
        <v>1777</v>
      </c>
      <c r="C40" s="34" t="s">
        <v>1778</v>
      </c>
      <c r="D40" s="34" t="s">
        <v>1779</v>
      </c>
      <c r="E40" s="34"/>
      <c r="F40" s="34"/>
      <c r="G40" s="34" t="s">
        <v>1255</v>
      </c>
      <c r="H40" s="36" t="s">
        <v>732</v>
      </c>
    </row>
    <row r="41" spans="1:8" ht="15" customHeight="1" x14ac:dyDescent="0.35">
      <c r="A41" s="32" t="s">
        <v>1780</v>
      </c>
      <c r="B41" s="32" t="s">
        <v>511</v>
      </c>
      <c r="C41" s="32" t="s">
        <v>1781</v>
      </c>
      <c r="D41" s="32" t="s">
        <v>1717</v>
      </c>
      <c r="E41" s="32"/>
      <c r="F41" s="32"/>
      <c r="G41" s="32" t="s">
        <v>1760</v>
      </c>
      <c r="H41" s="35" t="s">
        <v>129</v>
      </c>
    </row>
    <row r="42" spans="1:8" ht="15" customHeight="1" x14ac:dyDescent="0.35">
      <c r="A42" s="34" t="s">
        <v>1782</v>
      </c>
      <c r="B42" s="34" t="s">
        <v>1783</v>
      </c>
      <c r="C42" s="34" t="s">
        <v>1495</v>
      </c>
      <c r="D42" s="34" t="s">
        <v>1784</v>
      </c>
      <c r="E42" s="34"/>
      <c r="F42" s="34"/>
      <c r="G42" s="34" t="s">
        <v>523</v>
      </c>
      <c r="H42" s="37" t="s">
        <v>144</v>
      </c>
    </row>
    <row r="43" spans="1:8" ht="15" customHeight="1" x14ac:dyDescent="0.35">
      <c r="A43" s="32" t="s">
        <v>1785</v>
      </c>
      <c r="B43" s="32" t="s">
        <v>1786</v>
      </c>
      <c r="C43" s="32" t="s">
        <v>1787</v>
      </c>
      <c r="D43" s="32" t="s">
        <v>1788</v>
      </c>
      <c r="E43" s="32"/>
      <c r="F43" s="32"/>
      <c r="G43" s="32" t="s">
        <v>1789</v>
      </c>
      <c r="H43" s="35" t="s">
        <v>129</v>
      </c>
    </row>
    <row r="44" spans="1:8" ht="15" customHeight="1" x14ac:dyDescent="0.35">
      <c r="A44" s="34" t="s">
        <v>1790</v>
      </c>
      <c r="B44" s="34" t="s">
        <v>1791</v>
      </c>
      <c r="C44" s="34" t="s">
        <v>1792</v>
      </c>
      <c r="D44" s="34" t="s">
        <v>1793</v>
      </c>
      <c r="E44" s="34"/>
      <c r="F44" s="34"/>
      <c r="G44" s="34"/>
      <c r="H44" s="36" t="s">
        <v>732</v>
      </c>
    </row>
    <row r="45" spans="1:8" ht="15" customHeight="1" x14ac:dyDescent="0.35">
      <c r="A45" s="32" t="s">
        <v>1794</v>
      </c>
      <c r="B45" s="32" t="s">
        <v>1720</v>
      </c>
      <c r="C45" s="32" t="s">
        <v>1795</v>
      </c>
      <c r="D45" s="32" t="s">
        <v>519</v>
      </c>
      <c r="E45" s="32"/>
      <c r="F45" s="32"/>
      <c r="G45" s="32" t="s">
        <v>1394</v>
      </c>
      <c r="H45" s="36" t="s">
        <v>732</v>
      </c>
    </row>
  </sheetData>
  <mergeCells count="7">
    <mergeCell ref="A27:H27"/>
    <mergeCell ref="A37:H37"/>
    <mergeCell ref="A1:J1"/>
    <mergeCell ref="A2:J2"/>
    <mergeCell ref="A3:J3"/>
    <mergeCell ref="A5:H5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F4444"/>
  </sheetPr>
  <dimension ref="A1:L15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40" customWidth="1"/>
    <col min="3" max="3" width="14" customWidth="1"/>
    <col min="4" max="4" width="12" customWidth="1"/>
    <col min="5" max="5" width="10" customWidth="1"/>
    <col min="6" max="6" width="12" customWidth="1"/>
    <col min="7" max="7" width="38" customWidth="1"/>
    <col min="8" max="8" width="30" customWidth="1"/>
    <col min="9" max="9" width="14" customWidth="1"/>
    <col min="10" max="10" width="12" customWidth="1"/>
    <col min="11" max="11" width="14" customWidth="1"/>
    <col min="12" max="12" width="24" customWidth="1"/>
  </cols>
  <sheetData>
    <row r="1" spans="1:12" ht="39.75" customHeight="1" x14ac:dyDescent="0.35">
      <c r="A1" s="7" t="s">
        <v>1796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2" ht="21.75" customHeight="1" x14ac:dyDescent="0.35">
      <c r="A2" s="6" t="s">
        <v>1797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spans="1:12" ht="15" customHeight="1" x14ac:dyDescent="0.35">
      <c r="A5" s="13" t="s">
        <v>1798</v>
      </c>
      <c r="B5" s="13" t="s">
        <v>1799</v>
      </c>
      <c r="C5" s="13" t="s">
        <v>208</v>
      </c>
      <c r="D5" s="13" t="s">
        <v>209</v>
      </c>
      <c r="E5" s="13" t="s">
        <v>210</v>
      </c>
      <c r="F5" s="13" t="s">
        <v>1800</v>
      </c>
      <c r="G5" s="13" t="s">
        <v>1801</v>
      </c>
      <c r="H5" s="13" t="s">
        <v>1802</v>
      </c>
      <c r="I5" s="13" t="s">
        <v>5</v>
      </c>
      <c r="J5" s="13" t="s">
        <v>117</v>
      </c>
      <c r="K5" s="13" t="s">
        <v>1803</v>
      </c>
      <c r="L5" s="13" t="s">
        <v>118</v>
      </c>
    </row>
    <row r="6" spans="1:12" ht="23.25" customHeight="1" x14ac:dyDescent="0.35">
      <c r="A6" s="11" t="s">
        <v>1804</v>
      </c>
      <c r="B6" s="11" t="s">
        <v>1805</v>
      </c>
      <c r="C6" s="11" t="s">
        <v>459</v>
      </c>
      <c r="D6" s="11" t="s">
        <v>215</v>
      </c>
      <c r="E6" s="11" t="s">
        <v>228</v>
      </c>
      <c r="F6" s="11">
        <v>12</v>
      </c>
      <c r="G6" s="11" t="s">
        <v>1806</v>
      </c>
      <c r="H6" s="11" t="s">
        <v>1807</v>
      </c>
      <c r="I6" s="11" t="s">
        <v>56</v>
      </c>
      <c r="J6" s="11" t="s">
        <v>217</v>
      </c>
      <c r="K6" s="11" t="s">
        <v>447</v>
      </c>
      <c r="L6" s="11" t="s">
        <v>1808</v>
      </c>
    </row>
    <row r="7" spans="1:12" ht="15" customHeight="1" x14ac:dyDescent="0.35">
      <c r="A7" s="10" t="s">
        <v>1809</v>
      </c>
      <c r="B7" s="10" t="s">
        <v>1810</v>
      </c>
      <c r="C7" s="10" t="s">
        <v>226</v>
      </c>
      <c r="D7" s="10" t="s">
        <v>227</v>
      </c>
      <c r="E7" s="10" t="s">
        <v>228</v>
      </c>
      <c r="F7" s="10">
        <v>4</v>
      </c>
      <c r="G7" s="10" t="s">
        <v>1811</v>
      </c>
      <c r="H7" s="10" t="s">
        <v>1812</v>
      </c>
      <c r="I7" s="10" t="s">
        <v>50</v>
      </c>
      <c r="J7" s="10" t="s">
        <v>221</v>
      </c>
      <c r="K7" s="10" t="s">
        <v>443</v>
      </c>
      <c r="L7" s="10" t="s">
        <v>1813</v>
      </c>
    </row>
    <row r="8" spans="1:12" ht="15" customHeight="1" x14ac:dyDescent="0.35">
      <c r="A8" s="11" t="s">
        <v>1814</v>
      </c>
      <c r="B8" s="11" t="s">
        <v>1815</v>
      </c>
      <c r="C8" s="11" t="s">
        <v>156</v>
      </c>
      <c r="D8" s="11" t="s">
        <v>219</v>
      </c>
      <c r="E8" s="11" t="s">
        <v>215</v>
      </c>
      <c r="F8" s="11">
        <v>6</v>
      </c>
      <c r="G8" s="11" t="s">
        <v>1816</v>
      </c>
      <c r="H8" s="11" t="s">
        <v>1817</v>
      </c>
      <c r="I8" s="11" t="s">
        <v>56</v>
      </c>
      <c r="J8" s="11" t="s">
        <v>217</v>
      </c>
      <c r="K8" s="11" t="s">
        <v>474</v>
      </c>
      <c r="L8" s="11" t="s">
        <v>1818</v>
      </c>
    </row>
    <row r="9" spans="1:12" ht="15" customHeight="1" x14ac:dyDescent="0.35">
      <c r="A9" s="10" t="s">
        <v>1819</v>
      </c>
      <c r="B9" s="10" t="s">
        <v>1820</v>
      </c>
      <c r="C9" s="10" t="s">
        <v>223</v>
      </c>
      <c r="D9" s="10" t="s">
        <v>219</v>
      </c>
      <c r="E9" s="10" t="s">
        <v>215</v>
      </c>
      <c r="F9" s="10">
        <v>6</v>
      </c>
      <c r="G9" s="10" t="s">
        <v>1821</v>
      </c>
      <c r="H9" s="10" t="s">
        <v>1822</v>
      </c>
      <c r="I9" s="10" t="s">
        <v>56</v>
      </c>
      <c r="J9" s="10" t="s">
        <v>221</v>
      </c>
      <c r="K9" s="10" t="s">
        <v>443</v>
      </c>
      <c r="L9" s="10" t="s">
        <v>1823</v>
      </c>
    </row>
    <row r="10" spans="1:12" ht="23.25" customHeight="1" x14ac:dyDescent="0.35">
      <c r="A10" s="11" t="s">
        <v>1824</v>
      </c>
      <c r="B10" s="11" t="s">
        <v>1825</v>
      </c>
      <c r="C10" s="11" t="s">
        <v>1039</v>
      </c>
      <c r="D10" s="11" t="s">
        <v>219</v>
      </c>
      <c r="E10" s="11" t="s">
        <v>219</v>
      </c>
      <c r="F10" s="11">
        <v>4</v>
      </c>
      <c r="G10" s="11" t="s">
        <v>1826</v>
      </c>
      <c r="H10" s="11" t="s">
        <v>1827</v>
      </c>
      <c r="I10" s="11" t="s">
        <v>36</v>
      </c>
      <c r="J10" s="11" t="s">
        <v>217</v>
      </c>
      <c r="K10" s="11" t="s">
        <v>447</v>
      </c>
      <c r="L10" s="11" t="s">
        <v>1828</v>
      </c>
    </row>
    <row r="11" spans="1:12" ht="15" customHeight="1" x14ac:dyDescent="0.35">
      <c r="A11" s="10" t="s">
        <v>1829</v>
      </c>
      <c r="B11" s="10" t="s">
        <v>1830</v>
      </c>
      <c r="C11" s="10" t="s">
        <v>1561</v>
      </c>
      <c r="D11" s="10" t="s">
        <v>219</v>
      </c>
      <c r="E11" s="10" t="s">
        <v>215</v>
      </c>
      <c r="F11" s="10">
        <v>6</v>
      </c>
      <c r="G11" s="10" t="s">
        <v>1831</v>
      </c>
      <c r="H11" s="10" t="s">
        <v>1832</v>
      </c>
      <c r="I11" s="10" t="s">
        <v>161</v>
      </c>
      <c r="J11" s="10" t="s">
        <v>217</v>
      </c>
      <c r="K11" s="10" t="s">
        <v>1833</v>
      </c>
      <c r="L11" s="10" t="s">
        <v>1834</v>
      </c>
    </row>
    <row r="12" spans="1:12" ht="15" customHeight="1" x14ac:dyDescent="0.35">
      <c r="A12" s="11" t="s">
        <v>1835</v>
      </c>
      <c r="B12" s="11" t="s">
        <v>1836</v>
      </c>
      <c r="C12" s="11" t="s">
        <v>292</v>
      </c>
      <c r="D12" s="11" t="s">
        <v>227</v>
      </c>
      <c r="E12" s="11" t="s">
        <v>215</v>
      </c>
      <c r="F12" s="11">
        <v>3</v>
      </c>
      <c r="G12" s="11" t="s">
        <v>1837</v>
      </c>
      <c r="H12" s="11" t="s">
        <v>1838</v>
      </c>
      <c r="I12" s="11" t="s">
        <v>294</v>
      </c>
      <c r="J12" s="11" t="s">
        <v>217</v>
      </c>
      <c r="K12" s="11" t="s">
        <v>1639</v>
      </c>
      <c r="L12" s="11" t="s">
        <v>1839</v>
      </c>
    </row>
    <row r="13" spans="1:12" ht="15" customHeight="1" x14ac:dyDescent="0.35">
      <c r="A13" s="10" t="s">
        <v>1840</v>
      </c>
      <c r="B13" s="10" t="s">
        <v>1841</v>
      </c>
      <c r="C13" s="10" t="s">
        <v>1039</v>
      </c>
      <c r="D13" s="10" t="s">
        <v>215</v>
      </c>
      <c r="E13" s="10" t="s">
        <v>219</v>
      </c>
      <c r="F13" s="10">
        <v>6</v>
      </c>
      <c r="G13" s="10" t="s">
        <v>1842</v>
      </c>
      <c r="H13" s="10" t="s">
        <v>1843</v>
      </c>
      <c r="I13" s="10" t="s">
        <v>284</v>
      </c>
      <c r="J13" s="10" t="s">
        <v>221</v>
      </c>
      <c r="K13" s="10" t="s">
        <v>1543</v>
      </c>
      <c r="L13" s="10" t="s">
        <v>1844</v>
      </c>
    </row>
    <row r="14" spans="1:12" ht="15" customHeight="1" x14ac:dyDescent="0.35">
      <c r="A14" s="11" t="s">
        <v>1845</v>
      </c>
      <c r="B14" s="11" t="s">
        <v>1846</v>
      </c>
      <c r="C14" s="11" t="s">
        <v>1847</v>
      </c>
      <c r="D14" s="11" t="s">
        <v>219</v>
      </c>
      <c r="E14" s="11" t="s">
        <v>219</v>
      </c>
      <c r="F14" s="11">
        <v>4</v>
      </c>
      <c r="G14" s="11" t="s">
        <v>1848</v>
      </c>
      <c r="H14" s="11" t="s">
        <v>1849</v>
      </c>
      <c r="I14" s="11" t="s">
        <v>56</v>
      </c>
      <c r="J14" s="11" t="s">
        <v>1850</v>
      </c>
      <c r="K14" s="11" t="s">
        <v>1833</v>
      </c>
      <c r="L14" s="11" t="s">
        <v>1851</v>
      </c>
    </row>
    <row r="15" spans="1:12" ht="23.25" customHeight="1" x14ac:dyDescent="0.35">
      <c r="A15" s="10" t="s">
        <v>1852</v>
      </c>
      <c r="B15" s="10" t="s">
        <v>1853</v>
      </c>
      <c r="C15" s="10" t="s">
        <v>1854</v>
      </c>
      <c r="D15" s="10" t="s">
        <v>227</v>
      </c>
      <c r="E15" s="10" t="s">
        <v>215</v>
      </c>
      <c r="F15" s="10">
        <v>3</v>
      </c>
      <c r="G15" s="10" t="s">
        <v>1855</v>
      </c>
      <c r="H15" s="10" t="s">
        <v>1856</v>
      </c>
      <c r="I15" s="10" t="s">
        <v>56</v>
      </c>
      <c r="J15" s="10" t="s">
        <v>217</v>
      </c>
      <c r="K15" s="10" t="s">
        <v>1857</v>
      </c>
      <c r="L15" s="10" t="s">
        <v>1858</v>
      </c>
    </row>
  </sheetData>
  <mergeCells count="3">
    <mergeCell ref="A1:K1"/>
    <mergeCell ref="A2:K2"/>
    <mergeCell ref="A3:K3"/>
  </mergeCells>
  <dataValidations count="2">
    <dataValidation type="list" allowBlank="1" sqref="D6:E50" xr:uid="{00000000-0002-0000-1700-000000000000}">
      <formula1>"Critical,High,Medium,Low"</formula1>
      <formula2>0</formula2>
    </dataValidation>
    <dataValidation type="list" allowBlank="1" sqref="J6:J50" xr:uid="{00000000-0002-0000-1700-000002000000}">
      <formula1>"Open,Mitigating,Resolved,Accepted,Monitor"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4A3B8"/>
  </sheetPr>
  <dimension ref="A1:J13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30" customWidth="1"/>
    <col min="3" max="3" width="12" customWidth="1"/>
    <col min="4" max="4" width="22" customWidth="1"/>
    <col min="5" max="5" width="28" customWidth="1"/>
    <col min="6" max="7" width="36" customWidth="1"/>
    <col min="8" max="8" width="14" customWidth="1"/>
    <col min="9" max="10" width="12" customWidth="1"/>
  </cols>
  <sheetData>
    <row r="1" spans="1:10" ht="39.75" customHeight="1" x14ac:dyDescent="0.35">
      <c r="A1" s="7" t="s">
        <v>1859</v>
      </c>
      <c r="B1" s="7"/>
      <c r="C1" s="7"/>
      <c r="D1" s="7"/>
      <c r="E1" s="7"/>
      <c r="F1" s="7"/>
      <c r="G1" s="7"/>
      <c r="H1" s="7"/>
      <c r="I1" s="7"/>
      <c r="J1" s="7"/>
    </row>
    <row r="2" spans="1:10" ht="21.75" customHeight="1" x14ac:dyDescent="0.35">
      <c r="A2" s="6" t="s">
        <v>1860</v>
      </c>
      <c r="B2" s="6"/>
      <c r="C2" s="6"/>
      <c r="D2" s="6"/>
      <c r="E2" s="6"/>
      <c r="F2" s="6"/>
      <c r="G2" s="6"/>
      <c r="H2" s="6"/>
      <c r="I2" s="6"/>
      <c r="J2" s="6"/>
    </row>
    <row r="3" spans="1:10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5" spans="1:10" ht="15" customHeight="1" x14ac:dyDescent="0.35">
      <c r="A5" s="13" t="s">
        <v>677</v>
      </c>
      <c r="B5" s="13" t="s">
        <v>1861</v>
      </c>
      <c r="C5" s="13" t="s">
        <v>750</v>
      </c>
      <c r="D5" s="13" t="s">
        <v>1862</v>
      </c>
      <c r="E5" s="13" t="s">
        <v>1863</v>
      </c>
      <c r="F5" s="13" t="s">
        <v>1864</v>
      </c>
      <c r="G5" s="13" t="s">
        <v>1865</v>
      </c>
      <c r="H5" s="13" t="s">
        <v>5</v>
      </c>
      <c r="I5" s="13" t="s">
        <v>1866</v>
      </c>
      <c r="J5" s="13" t="s">
        <v>117</v>
      </c>
    </row>
    <row r="6" spans="1:10" ht="23.25" customHeight="1" x14ac:dyDescent="0.35">
      <c r="A6" s="11" t="s">
        <v>276</v>
      </c>
      <c r="B6" s="11" t="s">
        <v>1867</v>
      </c>
      <c r="C6" s="11" t="s">
        <v>1868</v>
      </c>
      <c r="D6" s="11" t="s">
        <v>1869</v>
      </c>
      <c r="E6" s="11" t="s">
        <v>1870</v>
      </c>
      <c r="F6" s="11" t="s">
        <v>1871</v>
      </c>
      <c r="G6" s="11" t="s">
        <v>1872</v>
      </c>
      <c r="H6" s="11" t="s">
        <v>33</v>
      </c>
      <c r="I6" s="11" t="s">
        <v>175</v>
      </c>
      <c r="J6" s="11" t="s">
        <v>177</v>
      </c>
    </row>
    <row r="7" spans="1:10" ht="15" customHeight="1" x14ac:dyDescent="0.35">
      <c r="A7" s="10" t="s">
        <v>175</v>
      </c>
      <c r="B7" s="10" t="s">
        <v>1873</v>
      </c>
      <c r="C7" s="10" t="s">
        <v>164</v>
      </c>
      <c r="D7" s="10" t="s">
        <v>1874</v>
      </c>
      <c r="E7" s="10" t="s">
        <v>1875</v>
      </c>
      <c r="F7" s="10" t="s">
        <v>1876</v>
      </c>
      <c r="G7" s="10" t="s">
        <v>1877</v>
      </c>
      <c r="H7" s="10" t="s">
        <v>33</v>
      </c>
      <c r="I7" s="10" t="s">
        <v>181</v>
      </c>
      <c r="J7" s="10" t="s">
        <v>177</v>
      </c>
    </row>
    <row r="8" spans="1:10" ht="15" customHeight="1" x14ac:dyDescent="0.35">
      <c r="A8" s="11" t="s">
        <v>691</v>
      </c>
      <c r="B8" s="11" t="s">
        <v>1878</v>
      </c>
      <c r="C8" s="11" t="s">
        <v>1879</v>
      </c>
      <c r="D8" s="11" t="s">
        <v>1880</v>
      </c>
      <c r="E8" s="11" t="s">
        <v>1881</v>
      </c>
      <c r="F8" s="11" t="s">
        <v>1882</v>
      </c>
      <c r="G8" s="11" t="s">
        <v>1883</v>
      </c>
      <c r="H8" s="11" t="s">
        <v>56</v>
      </c>
      <c r="I8" s="11" t="s">
        <v>303</v>
      </c>
      <c r="J8" s="11" t="s">
        <v>177</v>
      </c>
    </row>
    <row r="9" spans="1:10" ht="23.25" customHeight="1" x14ac:dyDescent="0.35">
      <c r="A9" s="10" t="s">
        <v>296</v>
      </c>
      <c r="B9" s="10" t="s">
        <v>1884</v>
      </c>
      <c r="C9" s="10" t="s">
        <v>214</v>
      </c>
      <c r="D9" s="10" t="s">
        <v>1885</v>
      </c>
      <c r="E9" s="10" t="s">
        <v>1886</v>
      </c>
      <c r="F9" s="10" t="s">
        <v>1887</v>
      </c>
      <c r="G9" s="10" t="s">
        <v>1888</v>
      </c>
      <c r="H9" s="10" t="s">
        <v>130</v>
      </c>
      <c r="I9" s="10" t="s">
        <v>332</v>
      </c>
      <c r="J9" s="10" t="s">
        <v>184</v>
      </c>
    </row>
    <row r="10" spans="1:10" ht="23.25" customHeight="1" x14ac:dyDescent="0.35">
      <c r="A10" s="11" t="s">
        <v>310</v>
      </c>
      <c r="B10" s="11" t="s">
        <v>1889</v>
      </c>
      <c r="C10" s="11" t="s">
        <v>1561</v>
      </c>
      <c r="D10" s="11" t="s">
        <v>1890</v>
      </c>
      <c r="E10" s="11" t="s">
        <v>1891</v>
      </c>
      <c r="F10" s="11" t="s">
        <v>1892</v>
      </c>
      <c r="G10" s="11" t="s">
        <v>1893</v>
      </c>
      <c r="H10" s="11" t="s">
        <v>274</v>
      </c>
      <c r="I10" s="11" t="s">
        <v>1894</v>
      </c>
      <c r="J10" s="11" t="s">
        <v>177</v>
      </c>
    </row>
    <row r="11" spans="1:10" ht="23.25" customHeight="1" x14ac:dyDescent="0.35">
      <c r="A11" s="10" t="s">
        <v>474</v>
      </c>
      <c r="B11" s="10" t="s">
        <v>1895</v>
      </c>
      <c r="C11" s="10" t="s">
        <v>164</v>
      </c>
      <c r="D11" s="10" t="s">
        <v>1874</v>
      </c>
      <c r="E11" s="10" t="s">
        <v>1896</v>
      </c>
      <c r="F11" s="10" t="s">
        <v>1897</v>
      </c>
      <c r="G11" s="10" t="s">
        <v>1898</v>
      </c>
      <c r="H11" s="10" t="s">
        <v>284</v>
      </c>
      <c r="I11" s="10" t="s">
        <v>1497</v>
      </c>
      <c r="J11" s="10" t="s">
        <v>177</v>
      </c>
    </row>
    <row r="12" spans="1:10" ht="23.25" customHeight="1" x14ac:dyDescent="0.35">
      <c r="A12" s="11" t="s">
        <v>1170</v>
      </c>
      <c r="B12" s="11" t="s">
        <v>1899</v>
      </c>
      <c r="C12" s="11" t="s">
        <v>1561</v>
      </c>
      <c r="D12" s="11" t="s">
        <v>1900</v>
      </c>
      <c r="E12" s="11" t="s">
        <v>1901</v>
      </c>
      <c r="F12" s="11" t="s">
        <v>1902</v>
      </c>
      <c r="G12" s="11" t="s">
        <v>1903</v>
      </c>
      <c r="H12" s="11" t="s">
        <v>36</v>
      </c>
      <c r="I12" s="11" t="s">
        <v>1511</v>
      </c>
      <c r="J12" s="11" t="s">
        <v>177</v>
      </c>
    </row>
    <row r="13" spans="1:10" ht="23.25" customHeight="1" x14ac:dyDescent="0.35">
      <c r="A13" s="10" t="s">
        <v>1190</v>
      </c>
      <c r="B13" s="10" t="s">
        <v>1904</v>
      </c>
      <c r="C13" s="10" t="s">
        <v>1905</v>
      </c>
      <c r="D13" s="10" t="s">
        <v>1906</v>
      </c>
      <c r="E13" s="10" t="s">
        <v>1907</v>
      </c>
      <c r="F13" s="10" t="s">
        <v>1908</v>
      </c>
      <c r="G13" s="10" t="s">
        <v>1909</v>
      </c>
      <c r="H13" s="10" t="s">
        <v>66</v>
      </c>
      <c r="I13" s="10" t="s">
        <v>1537</v>
      </c>
      <c r="J13" s="10" t="s">
        <v>184</v>
      </c>
    </row>
  </sheetData>
  <mergeCells count="3">
    <mergeCell ref="A1:J1"/>
    <mergeCell ref="A2:J2"/>
    <mergeCell ref="A3:J3"/>
  </mergeCells>
  <dataValidations count="2">
    <dataValidation type="list" allowBlank="1" sqref="J6:J60" xr:uid="{00000000-0002-0000-1800-000000000000}">
      <formula1>"Not Started,In Progress,Done,Blocked"</formula1>
      <formula2>0</formula2>
    </dataValidation>
    <dataValidation type="list" allowBlank="1" sqref="C6:C60" xr:uid="{00000000-0002-0000-1800-000001000000}">
      <formula1>"All Hands,Sprint,Investor,1:1,Legal,Product,Marketing,Board,Async"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4A3B8"/>
  </sheetPr>
  <dimension ref="A1:I14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28" customWidth="1"/>
    <col min="3" max="3" width="14" customWidth="1"/>
    <col min="4" max="4" width="28" customWidth="1"/>
    <col min="5" max="5" width="30" customWidth="1"/>
    <col min="6" max="6" width="24" customWidth="1"/>
    <col min="7" max="7" width="36" customWidth="1"/>
    <col min="8" max="8" width="14" customWidth="1"/>
    <col min="9" max="9" width="12" customWidth="1"/>
  </cols>
  <sheetData>
    <row r="1" spans="1:9" ht="39.75" customHeight="1" x14ac:dyDescent="0.35">
      <c r="A1" s="7" t="s">
        <v>1910</v>
      </c>
      <c r="B1" s="7"/>
      <c r="C1" s="7"/>
      <c r="D1" s="7"/>
      <c r="E1" s="7"/>
      <c r="F1" s="7"/>
      <c r="G1" s="7"/>
      <c r="H1" s="7"/>
      <c r="I1" s="7"/>
    </row>
    <row r="2" spans="1:9" ht="21.75" customHeight="1" x14ac:dyDescent="0.35">
      <c r="A2" s="6" t="s">
        <v>1911</v>
      </c>
      <c r="B2" s="6"/>
      <c r="C2" s="6"/>
      <c r="D2" s="6"/>
      <c r="E2" s="6"/>
      <c r="F2" s="6"/>
      <c r="G2" s="6"/>
      <c r="H2" s="6"/>
      <c r="I2" s="6"/>
    </row>
    <row r="3" spans="1:9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</row>
    <row r="5" spans="1:9" ht="15" customHeight="1" x14ac:dyDescent="0.35">
      <c r="A5" s="13" t="s">
        <v>677</v>
      </c>
      <c r="B5" s="13" t="s">
        <v>1912</v>
      </c>
      <c r="C5" s="13" t="s">
        <v>208</v>
      </c>
      <c r="D5" s="13" t="s">
        <v>1913</v>
      </c>
      <c r="E5" s="13" t="s">
        <v>1914</v>
      </c>
      <c r="F5" s="13" t="s">
        <v>1915</v>
      </c>
      <c r="G5" s="13" t="s">
        <v>1916</v>
      </c>
      <c r="H5" s="13" t="s">
        <v>5</v>
      </c>
      <c r="I5" s="13" t="s">
        <v>1917</v>
      </c>
    </row>
    <row r="6" spans="1:9" ht="23.25" customHeight="1" x14ac:dyDescent="0.35">
      <c r="A6" s="11" t="s">
        <v>275</v>
      </c>
      <c r="B6" s="11" t="s">
        <v>1918</v>
      </c>
      <c r="C6" s="11" t="s">
        <v>254</v>
      </c>
      <c r="D6" s="11" t="s">
        <v>1919</v>
      </c>
      <c r="E6" s="11" t="s">
        <v>1920</v>
      </c>
      <c r="F6" s="11" t="s">
        <v>1921</v>
      </c>
      <c r="G6" s="11" t="s">
        <v>1922</v>
      </c>
      <c r="H6" s="11" t="s">
        <v>33</v>
      </c>
      <c r="I6" s="11" t="s">
        <v>1923</v>
      </c>
    </row>
    <row r="7" spans="1:9" ht="15" customHeight="1" x14ac:dyDescent="0.35">
      <c r="A7" s="10" t="s">
        <v>275</v>
      </c>
      <c r="B7" s="10" t="s">
        <v>1924</v>
      </c>
      <c r="C7" s="10" t="s">
        <v>254</v>
      </c>
      <c r="D7" s="10" t="s">
        <v>1925</v>
      </c>
      <c r="E7" s="10" t="s">
        <v>1926</v>
      </c>
      <c r="F7" s="10" t="s">
        <v>1927</v>
      </c>
      <c r="G7" s="10" t="s">
        <v>1928</v>
      </c>
      <c r="H7" s="10" t="s">
        <v>47</v>
      </c>
      <c r="I7" s="10" t="s">
        <v>1929</v>
      </c>
    </row>
    <row r="8" spans="1:9" ht="23.25" customHeight="1" x14ac:dyDescent="0.35">
      <c r="A8" s="11" t="s">
        <v>275</v>
      </c>
      <c r="B8" s="11" t="s">
        <v>1930</v>
      </c>
      <c r="C8" s="11" t="s">
        <v>307</v>
      </c>
      <c r="D8" s="11" t="s">
        <v>1931</v>
      </c>
      <c r="E8" s="11" t="s">
        <v>1932</v>
      </c>
      <c r="F8" s="11" t="s">
        <v>313</v>
      </c>
      <c r="G8" s="11" t="s">
        <v>1933</v>
      </c>
      <c r="H8" s="11" t="s">
        <v>36</v>
      </c>
      <c r="I8" s="11" t="s">
        <v>1934</v>
      </c>
    </row>
    <row r="9" spans="1:9" ht="23.25" customHeight="1" x14ac:dyDescent="0.35">
      <c r="A9" s="10" t="s">
        <v>266</v>
      </c>
      <c r="B9" s="10" t="s">
        <v>1935</v>
      </c>
      <c r="C9" s="10" t="s">
        <v>307</v>
      </c>
      <c r="D9" s="10" t="s">
        <v>1936</v>
      </c>
      <c r="E9" s="10" t="s">
        <v>1937</v>
      </c>
      <c r="F9" s="10" t="s">
        <v>1938</v>
      </c>
      <c r="G9" s="10" t="s">
        <v>1939</v>
      </c>
      <c r="H9" s="10" t="s">
        <v>36</v>
      </c>
      <c r="I9" s="10" t="s">
        <v>219</v>
      </c>
    </row>
    <row r="10" spans="1:9" ht="23.25" customHeight="1" x14ac:dyDescent="0.35">
      <c r="A10" s="11" t="s">
        <v>276</v>
      </c>
      <c r="B10" s="11" t="s">
        <v>1940</v>
      </c>
      <c r="C10" s="11" t="s">
        <v>338</v>
      </c>
      <c r="D10" s="11" t="s">
        <v>1941</v>
      </c>
      <c r="E10" s="11" t="s">
        <v>1942</v>
      </c>
      <c r="F10" s="11" t="s">
        <v>1943</v>
      </c>
      <c r="G10" s="11" t="s">
        <v>1944</v>
      </c>
      <c r="H10" s="11" t="s">
        <v>50</v>
      </c>
      <c r="I10" s="11" t="s">
        <v>1934</v>
      </c>
    </row>
    <row r="11" spans="1:9" ht="23.25" customHeight="1" x14ac:dyDescent="0.35">
      <c r="A11" s="10" t="s">
        <v>323</v>
      </c>
      <c r="B11" s="10" t="s">
        <v>1945</v>
      </c>
      <c r="C11" s="10" t="s">
        <v>1561</v>
      </c>
      <c r="D11" s="10" t="s">
        <v>1946</v>
      </c>
      <c r="E11" s="10" t="s">
        <v>1947</v>
      </c>
      <c r="F11" s="10" t="s">
        <v>1948</v>
      </c>
      <c r="G11" s="10" t="s">
        <v>1949</v>
      </c>
      <c r="H11" s="10" t="s">
        <v>56</v>
      </c>
      <c r="I11" s="10" t="s">
        <v>219</v>
      </c>
    </row>
    <row r="12" spans="1:9" ht="15" customHeight="1" x14ac:dyDescent="0.35">
      <c r="A12" s="11" t="s">
        <v>713</v>
      </c>
      <c r="B12" s="11" t="s">
        <v>1950</v>
      </c>
      <c r="C12" s="11" t="s">
        <v>214</v>
      </c>
      <c r="D12" s="11" t="s">
        <v>1951</v>
      </c>
      <c r="E12" s="11" t="s">
        <v>1952</v>
      </c>
      <c r="F12" s="11" t="s">
        <v>1953</v>
      </c>
      <c r="G12" s="11" t="s">
        <v>1954</v>
      </c>
      <c r="H12" s="11" t="s">
        <v>56</v>
      </c>
      <c r="I12" s="11" t="s">
        <v>1929</v>
      </c>
    </row>
    <row r="13" spans="1:9" ht="23.25" customHeight="1" x14ac:dyDescent="0.35">
      <c r="A13" s="10" t="s">
        <v>181</v>
      </c>
      <c r="B13" s="10" t="s">
        <v>1955</v>
      </c>
      <c r="C13" s="10" t="s">
        <v>254</v>
      </c>
      <c r="D13" s="10" t="s">
        <v>1956</v>
      </c>
      <c r="E13" s="10" t="s">
        <v>1957</v>
      </c>
      <c r="F13" s="10" t="s">
        <v>1958</v>
      </c>
      <c r="G13" s="10" t="s">
        <v>1959</v>
      </c>
      <c r="H13" s="10" t="s">
        <v>47</v>
      </c>
      <c r="I13" s="10" t="s">
        <v>1929</v>
      </c>
    </row>
    <row r="14" spans="1:9" ht="15" customHeight="1" x14ac:dyDescent="0.35">
      <c r="A14" s="11" t="s">
        <v>286</v>
      </c>
      <c r="B14" s="11" t="s">
        <v>1960</v>
      </c>
      <c r="C14" s="11" t="s">
        <v>1561</v>
      </c>
      <c r="D14" s="11" t="s">
        <v>1961</v>
      </c>
      <c r="E14" s="11" t="s">
        <v>1962</v>
      </c>
      <c r="F14" s="11" t="s">
        <v>1963</v>
      </c>
      <c r="G14" s="11" t="s">
        <v>1964</v>
      </c>
      <c r="H14" s="11" t="s">
        <v>161</v>
      </c>
      <c r="I14" s="11" t="s">
        <v>1934</v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4A3B8"/>
  </sheetPr>
  <dimension ref="A1:I15"/>
  <sheetViews>
    <sheetView zoomScaleNormal="100" workbookViewId="0">
      <pane ySplit="5" topLeftCell="A6" activePane="bottomLeft" state="frozen"/>
      <selection pane="bottomLeft" sqref="A1:I1"/>
    </sheetView>
  </sheetViews>
  <sheetFormatPr defaultColWidth="8.6328125" defaultRowHeight="14.5" x14ac:dyDescent="0.35"/>
  <cols>
    <col min="1" max="1" width="10" customWidth="1"/>
    <col min="2" max="2" width="30" customWidth="1"/>
    <col min="3" max="3" width="16" customWidth="1"/>
    <col min="4" max="4" width="14" customWidth="1"/>
    <col min="5" max="5" width="8" customWidth="1"/>
    <col min="6" max="6" width="14" customWidth="1"/>
    <col min="7" max="7" width="10" customWidth="1"/>
    <col min="8" max="8" width="20" customWidth="1"/>
    <col min="9" max="9" width="42" customWidth="1"/>
  </cols>
  <sheetData>
    <row r="1" spans="1:9" ht="39.75" customHeight="1" x14ac:dyDescent="0.35">
      <c r="A1" s="7" t="s">
        <v>1965</v>
      </c>
      <c r="B1" s="7"/>
      <c r="C1" s="7"/>
      <c r="D1" s="7"/>
      <c r="E1" s="7"/>
      <c r="F1" s="7"/>
      <c r="G1" s="7"/>
      <c r="H1" s="7"/>
      <c r="I1" s="7"/>
    </row>
    <row r="2" spans="1:9" ht="21.75" customHeight="1" x14ac:dyDescent="0.35">
      <c r="A2" s="6" t="s">
        <v>1966</v>
      </c>
      <c r="B2" s="6"/>
      <c r="C2" s="6"/>
      <c r="D2" s="6"/>
      <c r="E2" s="6"/>
      <c r="F2" s="6"/>
      <c r="G2" s="6"/>
      <c r="H2" s="6"/>
      <c r="I2" s="6"/>
    </row>
    <row r="3" spans="1:9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</row>
    <row r="5" spans="1:9" ht="15" customHeight="1" x14ac:dyDescent="0.35">
      <c r="A5" s="13" t="s">
        <v>1967</v>
      </c>
      <c r="B5" s="13" t="s">
        <v>1660</v>
      </c>
      <c r="C5" s="13" t="s">
        <v>208</v>
      </c>
      <c r="D5" s="13" t="s">
        <v>5</v>
      </c>
      <c r="E5" s="13" t="s">
        <v>670</v>
      </c>
      <c r="F5" s="13" t="s">
        <v>1968</v>
      </c>
      <c r="G5" s="13" t="s">
        <v>117</v>
      </c>
      <c r="H5" s="13" t="s">
        <v>251</v>
      </c>
      <c r="I5" s="13" t="s">
        <v>1969</v>
      </c>
    </row>
    <row r="6" spans="1:9" ht="15" customHeight="1" x14ac:dyDescent="0.35">
      <c r="A6" s="11" t="s">
        <v>1970</v>
      </c>
      <c r="B6" s="11" t="s">
        <v>1971</v>
      </c>
      <c r="C6" s="11" t="s">
        <v>254</v>
      </c>
      <c r="D6" s="11" t="s">
        <v>50</v>
      </c>
      <c r="E6" s="11" t="s">
        <v>614</v>
      </c>
      <c r="F6" s="11" t="s">
        <v>286</v>
      </c>
      <c r="G6" s="11" t="s">
        <v>684</v>
      </c>
      <c r="H6" s="11" t="s">
        <v>1972</v>
      </c>
      <c r="I6" s="11" t="s">
        <v>1973</v>
      </c>
    </row>
    <row r="7" spans="1:9" ht="15" customHeight="1" x14ac:dyDescent="0.35">
      <c r="A7" s="10" t="s">
        <v>1974</v>
      </c>
      <c r="B7" s="10" t="s">
        <v>1975</v>
      </c>
      <c r="C7" s="10" t="s">
        <v>254</v>
      </c>
      <c r="D7" s="10" t="s">
        <v>33</v>
      </c>
      <c r="E7" s="10" t="s">
        <v>535</v>
      </c>
      <c r="F7" s="10" t="s">
        <v>175</v>
      </c>
      <c r="G7" s="10" t="s">
        <v>684</v>
      </c>
      <c r="H7" s="10" t="s">
        <v>1976</v>
      </c>
      <c r="I7" s="10" t="s">
        <v>1977</v>
      </c>
    </row>
    <row r="8" spans="1:9" ht="15" customHeight="1" x14ac:dyDescent="0.35">
      <c r="A8" s="11" t="s">
        <v>1978</v>
      </c>
      <c r="B8" s="11" t="s">
        <v>1979</v>
      </c>
      <c r="C8" s="11" t="s">
        <v>307</v>
      </c>
      <c r="D8" s="11" t="s">
        <v>36</v>
      </c>
      <c r="E8" s="11" t="s">
        <v>1980</v>
      </c>
      <c r="F8" s="11" t="s">
        <v>303</v>
      </c>
      <c r="G8" s="11" t="s">
        <v>684</v>
      </c>
      <c r="H8" s="11" t="s">
        <v>1981</v>
      </c>
      <c r="I8" s="11" t="s">
        <v>1982</v>
      </c>
    </row>
    <row r="9" spans="1:9" ht="23.25" customHeight="1" x14ac:dyDescent="0.35">
      <c r="A9" s="10" t="s">
        <v>1983</v>
      </c>
      <c r="B9" s="10" t="s">
        <v>1984</v>
      </c>
      <c r="C9" s="10" t="s">
        <v>361</v>
      </c>
      <c r="D9" s="10" t="s">
        <v>56</v>
      </c>
      <c r="E9" s="10" t="s">
        <v>535</v>
      </c>
      <c r="F9" s="10" t="s">
        <v>691</v>
      </c>
      <c r="G9" s="10" t="s">
        <v>684</v>
      </c>
      <c r="H9" s="10" t="s">
        <v>1985</v>
      </c>
      <c r="I9" s="10" t="s">
        <v>1986</v>
      </c>
    </row>
    <row r="10" spans="1:9" ht="23.25" customHeight="1" x14ac:dyDescent="0.35">
      <c r="A10" s="11" t="s">
        <v>1987</v>
      </c>
      <c r="B10" s="11" t="s">
        <v>1988</v>
      </c>
      <c r="C10" s="11" t="s">
        <v>156</v>
      </c>
      <c r="D10" s="11" t="s">
        <v>156</v>
      </c>
      <c r="E10" s="11" t="s">
        <v>535</v>
      </c>
      <c r="F10" s="11" t="s">
        <v>1989</v>
      </c>
      <c r="G10" s="11" t="s">
        <v>684</v>
      </c>
      <c r="H10" s="11" t="s">
        <v>1990</v>
      </c>
      <c r="I10" s="11" t="s">
        <v>1991</v>
      </c>
    </row>
    <row r="11" spans="1:9" ht="15" customHeight="1" x14ac:dyDescent="0.35">
      <c r="A11" s="10" t="s">
        <v>1992</v>
      </c>
      <c r="B11" s="10" t="s">
        <v>1993</v>
      </c>
      <c r="C11" s="10" t="s">
        <v>1070</v>
      </c>
      <c r="D11" s="10" t="s">
        <v>87</v>
      </c>
      <c r="E11" s="10" t="s">
        <v>535</v>
      </c>
      <c r="F11" s="10" t="s">
        <v>474</v>
      </c>
      <c r="G11" s="10" t="s">
        <v>684</v>
      </c>
      <c r="H11" s="10" t="s">
        <v>1994</v>
      </c>
      <c r="I11" s="10" t="s">
        <v>1995</v>
      </c>
    </row>
    <row r="12" spans="1:9" ht="15" customHeight="1" x14ac:dyDescent="0.35">
      <c r="A12" s="11" t="s">
        <v>1996</v>
      </c>
      <c r="B12" s="11" t="s">
        <v>1997</v>
      </c>
      <c r="C12" s="11" t="s">
        <v>226</v>
      </c>
      <c r="D12" s="11" t="s">
        <v>50</v>
      </c>
      <c r="E12" s="11" t="s">
        <v>535</v>
      </c>
      <c r="F12" s="11" t="s">
        <v>1181</v>
      </c>
      <c r="G12" s="11" t="s">
        <v>684</v>
      </c>
      <c r="H12" s="11" t="s">
        <v>1998</v>
      </c>
      <c r="I12" s="11" t="s">
        <v>1999</v>
      </c>
    </row>
    <row r="13" spans="1:9" ht="15" customHeight="1" x14ac:dyDescent="0.35">
      <c r="A13" s="10" t="s">
        <v>2000</v>
      </c>
      <c r="B13" s="10" t="s">
        <v>2001</v>
      </c>
      <c r="C13" s="10" t="s">
        <v>880</v>
      </c>
      <c r="D13" s="10" t="s">
        <v>69</v>
      </c>
      <c r="E13" s="10" t="s">
        <v>535</v>
      </c>
      <c r="F13" s="10" t="s">
        <v>474</v>
      </c>
      <c r="G13" s="10" t="s">
        <v>684</v>
      </c>
      <c r="H13" s="10" t="s">
        <v>2002</v>
      </c>
      <c r="I13" s="10" t="s">
        <v>2003</v>
      </c>
    </row>
    <row r="14" spans="1:9" ht="23.25" customHeight="1" x14ac:dyDescent="0.35">
      <c r="A14" s="11" t="s">
        <v>2004</v>
      </c>
      <c r="B14" s="11" t="s">
        <v>2005</v>
      </c>
      <c r="C14" s="11" t="s">
        <v>214</v>
      </c>
      <c r="D14" s="11" t="s">
        <v>27</v>
      </c>
      <c r="E14" s="11" t="s">
        <v>535</v>
      </c>
      <c r="F14" s="11" t="s">
        <v>310</v>
      </c>
      <c r="G14" s="11" t="s">
        <v>684</v>
      </c>
      <c r="H14" s="11" t="s">
        <v>2006</v>
      </c>
      <c r="I14" s="11" t="s">
        <v>2007</v>
      </c>
    </row>
    <row r="15" spans="1:9" ht="15" customHeight="1" x14ac:dyDescent="0.35">
      <c r="A15" s="10" t="s">
        <v>2008</v>
      </c>
      <c r="B15" s="10" t="s">
        <v>2009</v>
      </c>
      <c r="C15" s="10" t="s">
        <v>223</v>
      </c>
      <c r="D15" s="10" t="s">
        <v>130</v>
      </c>
      <c r="E15" s="10" t="s">
        <v>535</v>
      </c>
      <c r="F15" s="10" t="s">
        <v>474</v>
      </c>
      <c r="G15" s="10" t="s">
        <v>684</v>
      </c>
      <c r="H15" s="10" t="s">
        <v>2010</v>
      </c>
      <c r="I15" s="10" t="s">
        <v>2011</v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97316"/>
  </sheetPr>
  <dimension ref="A1:N13"/>
  <sheetViews>
    <sheetView zoomScaleNormal="100" workbookViewId="0">
      <pane ySplit="5" topLeftCell="A6" activePane="bottomLeft" state="frozen"/>
      <selection pane="bottomLeft" sqref="A1:N1"/>
    </sheetView>
  </sheetViews>
  <sheetFormatPr defaultColWidth="8.6328125" defaultRowHeight="14.5" x14ac:dyDescent="0.35"/>
  <cols>
    <col min="1" max="1" width="18" customWidth="1"/>
    <col min="2" max="2" width="12" customWidth="1"/>
    <col min="3" max="3" width="18" customWidth="1"/>
    <col min="4" max="4" width="32" customWidth="1"/>
    <col min="5" max="5" width="20" customWidth="1"/>
    <col min="6" max="6" width="16" customWidth="1"/>
    <col min="7" max="7" width="14" customWidth="1"/>
    <col min="8" max="8" width="10" customWidth="1"/>
    <col min="9" max="9" width="12" customWidth="1"/>
    <col min="10" max="10" width="28" customWidth="1"/>
    <col min="11" max="11" width="32" customWidth="1"/>
    <col min="12" max="12" width="12" customWidth="1"/>
  </cols>
  <sheetData>
    <row r="1" spans="1:14" ht="39.75" customHeight="1" x14ac:dyDescent="0.35">
      <c r="A1" s="7" t="s">
        <v>2012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1.75" customHeight="1" x14ac:dyDescent="0.35">
      <c r="A2" s="6" t="s">
        <v>2013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5" spans="1:14" ht="15" customHeight="1" x14ac:dyDescent="0.35">
      <c r="A5" s="13" t="s">
        <v>2014</v>
      </c>
      <c r="B5" s="13" t="s">
        <v>750</v>
      </c>
      <c r="C5" s="13" t="s">
        <v>2015</v>
      </c>
      <c r="D5" s="13" t="s">
        <v>2016</v>
      </c>
      <c r="E5" s="13" t="s">
        <v>2017</v>
      </c>
      <c r="F5" s="13" t="s">
        <v>198</v>
      </c>
      <c r="G5" s="13" t="s">
        <v>2018</v>
      </c>
      <c r="H5" s="13" t="s">
        <v>2019</v>
      </c>
      <c r="I5" s="13" t="s">
        <v>2020</v>
      </c>
      <c r="J5" s="13" t="s">
        <v>2021</v>
      </c>
      <c r="K5" s="13" t="s">
        <v>2022</v>
      </c>
      <c r="L5" s="13" t="s">
        <v>2023</v>
      </c>
    </row>
    <row r="6" spans="1:14" ht="23.25" customHeight="1" x14ac:dyDescent="0.35">
      <c r="A6" s="11" t="s">
        <v>1317</v>
      </c>
      <c r="B6" s="11" t="s">
        <v>2024</v>
      </c>
      <c r="C6" s="11" t="s">
        <v>2025</v>
      </c>
      <c r="D6" s="11" t="s">
        <v>2026</v>
      </c>
      <c r="E6" s="11" t="s">
        <v>2027</v>
      </c>
      <c r="F6" s="11" t="s">
        <v>377</v>
      </c>
      <c r="G6" s="11" t="s">
        <v>1386</v>
      </c>
      <c r="H6" s="11" t="s">
        <v>2028</v>
      </c>
      <c r="I6" s="11" t="s">
        <v>2029</v>
      </c>
      <c r="J6" s="11" t="s">
        <v>2030</v>
      </c>
      <c r="K6" s="11" t="s">
        <v>2031</v>
      </c>
      <c r="L6" s="11" t="s">
        <v>215</v>
      </c>
    </row>
    <row r="7" spans="1:14" ht="15" customHeight="1" x14ac:dyDescent="0.35">
      <c r="A7" s="10" t="s">
        <v>2032</v>
      </c>
      <c r="B7" s="10" t="s">
        <v>2033</v>
      </c>
      <c r="C7" s="10" t="s">
        <v>2034</v>
      </c>
      <c r="D7" s="10" t="s">
        <v>2035</v>
      </c>
      <c r="E7" s="10" t="s">
        <v>2036</v>
      </c>
      <c r="F7" s="10" t="s">
        <v>377</v>
      </c>
      <c r="G7" s="10" t="s">
        <v>1386</v>
      </c>
      <c r="H7" s="10" t="s">
        <v>2037</v>
      </c>
      <c r="I7" s="10" t="s">
        <v>2038</v>
      </c>
      <c r="J7" s="10" t="s">
        <v>2039</v>
      </c>
      <c r="K7" s="10" t="s">
        <v>2040</v>
      </c>
      <c r="L7" s="10" t="s">
        <v>215</v>
      </c>
    </row>
    <row r="8" spans="1:14" ht="23.25" customHeight="1" x14ac:dyDescent="0.35">
      <c r="A8" s="11" t="s">
        <v>2041</v>
      </c>
      <c r="B8" s="11" t="s">
        <v>2042</v>
      </c>
      <c r="C8" s="11" t="s">
        <v>2043</v>
      </c>
      <c r="D8" s="11" t="s">
        <v>2044</v>
      </c>
      <c r="E8" s="11" t="s">
        <v>431</v>
      </c>
      <c r="F8" s="11" t="s">
        <v>397</v>
      </c>
      <c r="G8" s="11" t="s">
        <v>2045</v>
      </c>
      <c r="H8" s="11" t="s">
        <v>2046</v>
      </c>
      <c r="I8" s="11" t="s">
        <v>2047</v>
      </c>
      <c r="J8" s="11" t="s">
        <v>2048</v>
      </c>
      <c r="K8" s="11" t="s">
        <v>2049</v>
      </c>
      <c r="L8" s="11" t="s">
        <v>219</v>
      </c>
    </row>
    <row r="9" spans="1:14" ht="15" customHeight="1" x14ac:dyDescent="0.35">
      <c r="A9" s="10" t="s">
        <v>2050</v>
      </c>
      <c r="B9" s="10" t="s">
        <v>2042</v>
      </c>
      <c r="C9" s="10" t="s">
        <v>2051</v>
      </c>
      <c r="D9" s="10" t="s">
        <v>2052</v>
      </c>
      <c r="E9" s="10" t="s">
        <v>2053</v>
      </c>
      <c r="F9" s="10" t="s">
        <v>698</v>
      </c>
      <c r="G9" s="10" t="s">
        <v>1386</v>
      </c>
      <c r="H9" s="10" t="s">
        <v>2054</v>
      </c>
      <c r="I9" s="10" t="s">
        <v>2055</v>
      </c>
      <c r="J9" s="10" t="s">
        <v>2056</v>
      </c>
      <c r="K9" s="10" t="s">
        <v>2057</v>
      </c>
      <c r="L9" s="10" t="s">
        <v>219</v>
      </c>
    </row>
    <row r="10" spans="1:14" ht="23.25" customHeight="1" x14ac:dyDescent="0.35">
      <c r="A10" s="11" t="s">
        <v>2058</v>
      </c>
      <c r="B10" s="11" t="s">
        <v>2059</v>
      </c>
      <c r="C10" s="11" t="s">
        <v>2060</v>
      </c>
      <c r="D10" s="11" t="s">
        <v>2061</v>
      </c>
      <c r="E10" s="11" t="s">
        <v>2053</v>
      </c>
      <c r="F10" s="11" t="s">
        <v>377</v>
      </c>
      <c r="G10" s="11" t="s">
        <v>1386</v>
      </c>
      <c r="H10" s="11" t="s">
        <v>2062</v>
      </c>
      <c r="I10" s="11" t="s">
        <v>2063</v>
      </c>
      <c r="J10" s="11" t="s">
        <v>2064</v>
      </c>
      <c r="K10" s="11" t="s">
        <v>2065</v>
      </c>
      <c r="L10" s="11" t="s">
        <v>219</v>
      </c>
    </row>
    <row r="11" spans="1:14" ht="23.25" customHeight="1" x14ac:dyDescent="0.35">
      <c r="A11" s="10" t="s">
        <v>2066</v>
      </c>
      <c r="B11" s="10" t="s">
        <v>2059</v>
      </c>
      <c r="C11" s="10" t="s">
        <v>2067</v>
      </c>
      <c r="D11" s="10" t="s">
        <v>2068</v>
      </c>
      <c r="E11" s="10" t="s">
        <v>2053</v>
      </c>
      <c r="F11" s="10" t="s">
        <v>377</v>
      </c>
      <c r="G11" s="10" t="s">
        <v>1386</v>
      </c>
      <c r="H11" s="10" t="s">
        <v>2069</v>
      </c>
      <c r="I11" s="10" t="s">
        <v>2070</v>
      </c>
      <c r="J11" s="10" t="s">
        <v>2071</v>
      </c>
      <c r="K11" s="10" t="s">
        <v>2072</v>
      </c>
      <c r="L11" s="10" t="s">
        <v>219</v>
      </c>
    </row>
    <row r="12" spans="1:14" ht="23.25" customHeight="1" x14ac:dyDescent="0.35">
      <c r="A12" s="11" t="s">
        <v>2073</v>
      </c>
      <c r="B12" s="11" t="s">
        <v>2059</v>
      </c>
      <c r="C12" s="11" t="s">
        <v>2074</v>
      </c>
      <c r="D12" s="11" t="s">
        <v>2075</v>
      </c>
      <c r="E12" s="11" t="s">
        <v>2053</v>
      </c>
      <c r="F12" s="11" t="s">
        <v>377</v>
      </c>
      <c r="G12" s="11" t="s">
        <v>1386</v>
      </c>
      <c r="H12" s="11" t="s">
        <v>2076</v>
      </c>
      <c r="I12" s="11" t="s">
        <v>2077</v>
      </c>
      <c r="J12" s="11" t="s">
        <v>2078</v>
      </c>
      <c r="K12" s="11" t="s">
        <v>2079</v>
      </c>
      <c r="L12" s="11" t="s">
        <v>215</v>
      </c>
    </row>
    <row r="13" spans="1:14" ht="23.25" customHeight="1" x14ac:dyDescent="0.35">
      <c r="A13" s="10" t="s">
        <v>2080</v>
      </c>
      <c r="B13" s="10" t="s">
        <v>2081</v>
      </c>
      <c r="C13" s="10" t="s">
        <v>2082</v>
      </c>
      <c r="D13" s="10" t="s">
        <v>2083</v>
      </c>
      <c r="E13" s="10" t="s">
        <v>431</v>
      </c>
      <c r="F13" s="10" t="s">
        <v>397</v>
      </c>
      <c r="G13" s="10" t="s">
        <v>2045</v>
      </c>
      <c r="H13" s="10" t="s">
        <v>2084</v>
      </c>
      <c r="I13" s="10" t="s">
        <v>2085</v>
      </c>
      <c r="J13" s="10" t="s">
        <v>2086</v>
      </c>
      <c r="K13" s="10" t="s">
        <v>2087</v>
      </c>
      <c r="L13" s="10" t="s">
        <v>227</v>
      </c>
    </row>
  </sheetData>
  <mergeCells count="3">
    <mergeCell ref="A1:N1"/>
    <mergeCell ref="A2:N2"/>
    <mergeCell ref="A3:N3"/>
  </mergeCells>
  <dataValidations count="1">
    <dataValidation type="list" allowBlank="1" sqref="L6:L50" xr:uid="{00000000-0002-0000-1B00-000000000000}">
      <formula1>"Critical,High,Medium,Low"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4B8A6"/>
  </sheetPr>
  <dimension ref="A1:J21"/>
  <sheetViews>
    <sheetView tabSelected="1" zoomScaleNormal="100" workbookViewId="0">
      <pane ySplit="6" topLeftCell="A7" activePane="bottomLeft" state="frozen"/>
      <selection pane="bottomLeft" activeCell="C7" sqref="C7"/>
    </sheetView>
  </sheetViews>
  <sheetFormatPr defaultColWidth="8.6328125" defaultRowHeight="14.5" x14ac:dyDescent="0.35"/>
  <cols>
    <col min="1" max="1" width="17.90625" bestFit="1" customWidth="1"/>
    <col min="2" max="2" width="10.08984375" bestFit="1" customWidth="1"/>
    <col min="3" max="3" width="17.90625" bestFit="1" customWidth="1"/>
    <col min="4" max="4" width="15.36328125" bestFit="1" customWidth="1"/>
    <col min="5" max="5" width="35.90625" bestFit="1" customWidth="1"/>
    <col min="6" max="6" width="27.1796875" bestFit="1" customWidth="1"/>
    <col min="7" max="7" width="15.54296875" bestFit="1" customWidth="1"/>
    <col min="8" max="8" width="18.7265625" bestFit="1" customWidth="1"/>
    <col min="9" max="9" width="16.1796875" bestFit="1" customWidth="1"/>
    <col min="10" max="10" width="44.1796875" bestFit="1" customWidth="1"/>
  </cols>
  <sheetData>
    <row r="1" spans="1:10" ht="39.75" customHeight="1" x14ac:dyDescent="0.35">
      <c r="A1" s="7" t="s">
        <v>2088</v>
      </c>
      <c r="B1" s="7"/>
      <c r="C1" s="7"/>
      <c r="D1" s="7"/>
      <c r="E1" s="7"/>
      <c r="F1" s="7"/>
      <c r="G1" s="7"/>
      <c r="H1" s="7"/>
      <c r="I1" s="7"/>
      <c r="J1" s="7"/>
    </row>
    <row r="2" spans="1:10" ht="21.75" customHeight="1" x14ac:dyDescent="0.35">
      <c r="A2" s="6" t="s">
        <v>2089</v>
      </c>
      <c r="B2" s="6"/>
      <c r="C2" s="6"/>
      <c r="D2" s="6"/>
      <c r="E2" s="6"/>
      <c r="F2" s="6"/>
      <c r="G2" s="6"/>
      <c r="H2" s="6"/>
      <c r="I2" s="6"/>
      <c r="J2" s="6"/>
    </row>
    <row r="3" spans="1:10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5" spans="1:10" ht="15" customHeight="1" x14ac:dyDescent="0.35">
      <c r="A5" s="1" t="s">
        <v>2090</v>
      </c>
      <c r="B5" s="1"/>
      <c r="C5" s="1"/>
      <c r="D5" s="1"/>
      <c r="E5" s="1"/>
      <c r="F5" s="1"/>
      <c r="G5" s="1"/>
      <c r="H5" s="1"/>
      <c r="I5" s="1"/>
      <c r="J5" s="1"/>
    </row>
    <row r="6" spans="1:10" ht="23.25" customHeight="1" x14ac:dyDescent="0.35">
      <c r="A6" s="13" t="s">
        <v>2091</v>
      </c>
      <c r="B6" s="13" t="s">
        <v>2092</v>
      </c>
      <c r="C6" s="13" t="s">
        <v>2093</v>
      </c>
      <c r="D6" s="13" t="s">
        <v>2094</v>
      </c>
      <c r="E6" s="13" t="s">
        <v>2095</v>
      </c>
      <c r="F6" s="13" t="s">
        <v>2096</v>
      </c>
      <c r="G6" s="13" t="s">
        <v>853</v>
      </c>
      <c r="H6" s="13" t="s">
        <v>2097</v>
      </c>
      <c r="I6" s="13" t="s">
        <v>2098</v>
      </c>
      <c r="J6" s="13" t="s">
        <v>2099</v>
      </c>
    </row>
    <row r="7" spans="1:10" ht="34.5" customHeight="1" x14ac:dyDescent="0.35">
      <c r="A7" s="10" t="s">
        <v>2100</v>
      </c>
      <c r="B7" s="10" t="s">
        <v>2101</v>
      </c>
      <c r="C7" s="10" t="s">
        <v>2102</v>
      </c>
      <c r="D7" s="10" t="s">
        <v>2103</v>
      </c>
      <c r="E7" s="10" t="s">
        <v>2104</v>
      </c>
      <c r="F7" s="10" t="s">
        <v>2105</v>
      </c>
      <c r="G7" s="10" t="s">
        <v>2106</v>
      </c>
      <c r="H7" s="10" t="s">
        <v>215</v>
      </c>
      <c r="I7" s="10" t="s">
        <v>2107</v>
      </c>
      <c r="J7" s="10" t="s">
        <v>2108</v>
      </c>
    </row>
    <row r="8" spans="1:10" ht="45.75" customHeight="1" x14ac:dyDescent="0.35">
      <c r="A8" s="11" t="s">
        <v>2109</v>
      </c>
      <c r="B8" s="11" t="s">
        <v>159</v>
      </c>
      <c r="C8" s="11" t="s">
        <v>2110</v>
      </c>
      <c r="D8" s="11" t="s">
        <v>2111</v>
      </c>
      <c r="E8" s="11" t="s">
        <v>2112</v>
      </c>
      <c r="F8" s="11" t="s">
        <v>2113</v>
      </c>
      <c r="G8" s="11" t="s">
        <v>2114</v>
      </c>
      <c r="H8" s="11" t="s">
        <v>219</v>
      </c>
      <c r="I8" s="11" t="s">
        <v>2115</v>
      </c>
      <c r="J8" s="11" t="s">
        <v>2116</v>
      </c>
    </row>
    <row r="9" spans="1:10" ht="45.75" customHeight="1" x14ac:dyDescent="0.35">
      <c r="A9" s="10" t="s">
        <v>2117</v>
      </c>
      <c r="B9" s="10" t="s">
        <v>2118</v>
      </c>
      <c r="C9" s="10" t="s">
        <v>2119</v>
      </c>
      <c r="D9" s="10" t="s">
        <v>2120</v>
      </c>
      <c r="E9" s="10" t="s">
        <v>2121</v>
      </c>
      <c r="F9" s="10" t="s">
        <v>2122</v>
      </c>
      <c r="G9" s="10" t="s">
        <v>2123</v>
      </c>
      <c r="H9" s="10" t="s">
        <v>215</v>
      </c>
      <c r="I9" s="10" t="s">
        <v>2124</v>
      </c>
      <c r="J9" s="10" t="s">
        <v>2125</v>
      </c>
    </row>
    <row r="10" spans="1:10" ht="45.75" customHeight="1" x14ac:dyDescent="0.35">
      <c r="A10" s="11" t="s">
        <v>2126</v>
      </c>
      <c r="B10" s="11" t="s">
        <v>1721</v>
      </c>
      <c r="C10" s="11" t="s">
        <v>2127</v>
      </c>
      <c r="D10" s="11" t="s">
        <v>2128</v>
      </c>
      <c r="E10" s="11" t="s">
        <v>2129</v>
      </c>
      <c r="F10" s="11" t="s">
        <v>2130</v>
      </c>
      <c r="G10" s="11" t="s">
        <v>2131</v>
      </c>
      <c r="H10" s="11" t="s">
        <v>219</v>
      </c>
      <c r="I10" s="11" t="s">
        <v>2132</v>
      </c>
      <c r="J10" s="11" t="s">
        <v>2133</v>
      </c>
    </row>
    <row r="11" spans="1:10" ht="45.75" customHeight="1" x14ac:dyDescent="0.35">
      <c r="A11" s="10" t="s">
        <v>2134</v>
      </c>
      <c r="B11" s="10" t="s">
        <v>205</v>
      </c>
      <c r="C11" s="10" t="s">
        <v>2135</v>
      </c>
      <c r="D11" s="10" t="s">
        <v>2136</v>
      </c>
      <c r="E11" s="10" t="s">
        <v>2137</v>
      </c>
      <c r="F11" s="10" t="s">
        <v>2138</v>
      </c>
      <c r="G11" s="10" t="s">
        <v>2139</v>
      </c>
      <c r="H11" s="10" t="s">
        <v>227</v>
      </c>
      <c r="I11" s="10" t="s">
        <v>2140</v>
      </c>
      <c r="J11" s="10" t="s">
        <v>2141</v>
      </c>
    </row>
    <row r="14" spans="1:10" ht="15" customHeight="1" x14ac:dyDescent="0.35">
      <c r="A14" s="1" t="s">
        <v>2142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23.25" customHeight="1" x14ac:dyDescent="0.35">
      <c r="A15" s="13" t="s">
        <v>2143</v>
      </c>
      <c r="B15" s="13" t="s">
        <v>677</v>
      </c>
      <c r="C15" s="13" t="s">
        <v>2144</v>
      </c>
      <c r="D15" s="13" t="s">
        <v>927</v>
      </c>
      <c r="E15" s="13" t="s">
        <v>2145</v>
      </c>
      <c r="F15" s="13" t="s">
        <v>2146</v>
      </c>
      <c r="G15" s="13" t="s">
        <v>2147</v>
      </c>
      <c r="H15" s="13" t="s">
        <v>2148</v>
      </c>
      <c r="I15" s="13" t="s">
        <v>2149</v>
      </c>
      <c r="J15" s="13" t="s">
        <v>2150</v>
      </c>
    </row>
    <row r="16" spans="1:10" ht="23.25" customHeight="1" x14ac:dyDescent="0.35">
      <c r="A16" s="11" t="s">
        <v>2151</v>
      </c>
      <c r="B16" s="11" t="s">
        <v>286</v>
      </c>
      <c r="C16" s="11" t="s">
        <v>2152</v>
      </c>
      <c r="D16" s="11" t="s">
        <v>2153</v>
      </c>
      <c r="E16" s="11" t="s">
        <v>2154</v>
      </c>
      <c r="F16" s="11" t="s">
        <v>2155</v>
      </c>
      <c r="G16" s="11" t="s">
        <v>1391</v>
      </c>
      <c r="H16" s="11" t="s">
        <v>377</v>
      </c>
      <c r="I16" s="11" t="s">
        <v>155</v>
      </c>
      <c r="J16" s="11" t="s">
        <v>2156</v>
      </c>
    </row>
    <row r="17" spans="1:10" ht="23.25" customHeight="1" x14ac:dyDescent="0.35">
      <c r="A17" s="10" t="s">
        <v>2157</v>
      </c>
      <c r="B17" s="10" t="s">
        <v>296</v>
      </c>
      <c r="C17" s="10" t="s">
        <v>2158</v>
      </c>
      <c r="D17" s="10" t="s">
        <v>2159</v>
      </c>
      <c r="E17" s="10" t="s">
        <v>2160</v>
      </c>
      <c r="F17" s="10" t="s">
        <v>2161</v>
      </c>
      <c r="G17" s="10" t="s">
        <v>2162</v>
      </c>
      <c r="H17" s="10" t="s">
        <v>377</v>
      </c>
      <c r="I17" s="10" t="s">
        <v>392</v>
      </c>
      <c r="J17" s="10" t="s">
        <v>2163</v>
      </c>
    </row>
    <row r="18" spans="1:10" ht="15" customHeight="1" x14ac:dyDescent="0.35">
      <c r="A18" s="11" t="s">
        <v>2164</v>
      </c>
      <c r="B18" s="11" t="s">
        <v>303</v>
      </c>
      <c r="C18" s="11" t="s">
        <v>2165</v>
      </c>
      <c r="D18" s="11" t="s">
        <v>2166</v>
      </c>
      <c r="E18" s="11" t="s">
        <v>2167</v>
      </c>
      <c r="F18" s="11" t="s">
        <v>2168</v>
      </c>
      <c r="G18" s="11" t="s">
        <v>2169</v>
      </c>
      <c r="H18" s="11" t="s">
        <v>377</v>
      </c>
      <c r="I18" s="11" t="s">
        <v>387</v>
      </c>
      <c r="J18" s="11" t="s">
        <v>2170</v>
      </c>
    </row>
    <row r="19" spans="1:10" ht="15" customHeight="1" x14ac:dyDescent="0.35">
      <c r="A19" s="10" t="s">
        <v>2171</v>
      </c>
      <c r="B19" s="10" t="s">
        <v>2172</v>
      </c>
      <c r="C19" s="10" t="s">
        <v>2165</v>
      </c>
      <c r="D19" s="10" t="s">
        <v>2173</v>
      </c>
      <c r="E19" s="10" t="s">
        <v>2174</v>
      </c>
      <c r="F19" s="10" t="s">
        <v>2175</v>
      </c>
      <c r="G19" s="10" t="s">
        <v>1391</v>
      </c>
      <c r="H19" s="10" t="s">
        <v>377</v>
      </c>
      <c r="I19" s="10" t="s">
        <v>155</v>
      </c>
      <c r="J19" s="10" t="s">
        <v>2176</v>
      </c>
    </row>
    <row r="20" spans="1:10" ht="23.25" customHeight="1" x14ac:dyDescent="0.35">
      <c r="A20" s="11" t="s">
        <v>2177</v>
      </c>
      <c r="B20" s="11" t="s">
        <v>2178</v>
      </c>
      <c r="C20" s="11" t="s">
        <v>2179</v>
      </c>
      <c r="D20" s="11" t="s">
        <v>2180</v>
      </c>
      <c r="E20" s="11" t="s">
        <v>2181</v>
      </c>
      <c r="F20" s="11" t="s">
        <v>2182</v>
      </c>
      <c r="G20" s="11" t="s">
        <v>2183</v>
      </c>
      <c r="H20" s="11" t="s">
        <v>2184</v>
      </c>
      <c r="I20" s="11" t="s">
        <v>410</v>
      </c>
      <c r="J20" s="11" t="s">
        <v>2185</v>
      </c>
    </row>
    <row r="21" spans="1:10" ht="23.25" customHeight="1" x14ac:dyDescent="0.35">
      <c r="A21" s="10" t="s">
        <v>2186</v>
      </c>
      <c r="B21" s="10" t="s">
        <v>310</v>
      </c>
      <c r="C21" s="10" t="s">
        <v>2187</v>
      </c>
      <c r="D21" s="10" t="s">
        <v>2173</v>
      </c>
      <c r="E21" s="10" t="s">
        <v>2188</v>
      </c>
      <c r="F21" s="10" t="s">
        <v>2189</v>
      </c>
      <c r="G21" s="10" t="s">
        <v>1397</v>
      </c>
      <c r="H21" s="10" t="s">
        <v>377</v>
      </c>
      <c r="I21" s="10" t="s">
        <v>392</v>
      </c>
      <c r="J21" s="10" t="s">
        <v>2190</v>
      </c>
    </row>
  </sheetData>
  <mergeCells count="5">
    <mergeCell ref="A1:J1"/>
    <mergeCell ref="A2:J2"/>
    <mergeCell ref="A3:J3"/>
    <mergeCell ref="A5:J5"/>
    <mergeCell ref="A14:J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22C55E"/>
  </sheetPr>
  <dimension ref="A1:L20"/>
  <sheetViews>
    <sheetView zoomScaleNormal="100" workbookViewId="0">
      <pane ySplit="5" topLeftCell="A13" activePane="bottomLeft" state="frozen"/>
      <selection pane="bottomLeft" sqref="A1:L1"/>
    </sheetView>
  </sheetViews>
  <sheetFormatPr defaultColWidth="8.6328125" defaultRowHeight="14.5" x14ac:dyDescent="0.35"/>
  <cols>
    <col min="1" max="1" width="8" customWidth="1"/>
    <col min="2" max="2" width="48" customWidth="1"/>
    <col min="3" max="3" width="18" customWidth="1"/>
    <col min="4" max="6" width="12" customWidth="1"/>
    <col min="7" max="7" width="10" customWidth="1"/>
    <col min="8" max="8" width="28" customWidth="1"/>
    <col min="9" max="9" width="12" customWidth="1"/>
    <col min="10" max="10" width="10" customWidth="1"/>
    <col min="11" max="11" width="12" customWidth="1"/>
    <col min="12" max="12" width="30" customWidth="1"/>
  </cols>
  <sheetData>
    <row r="1" spans="1:12" ht="39.75" customHeight="1" x14ac:dyDescent="0.35">
      <c r="A1" s="7" t="s">
        <v>2191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1.75" customHeight="1" x14ac:dyDescent="0.35">
      <c r="A2" s="6" t="s">
        <v>2192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.75" customHeight="1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spans="1:12" ht="15" customHeight="1" x14ac:dyDescent="0.35">
      <c r="A5" s="13" t="s">
        <v>2193</v>
      </c>
      <c r="B5" s="13" t="s">
        <v>2194</v>
      </c>
      <c r="C5" s="13" t="s">
        <v>113</v>
      </c>
      <c r="D5" s="13" t="s">
        <v>2195</v>
      </c>
      <c r="E5" s="13" t="s">
        <v>2196</v>
      </c>
      <c r="F5" s="13" t="s">
        <v>2197</v>
      </c>
      <c r="G5" s="13" t="s">
        <v>1665</v>
      </c>
      <c r="H5" s="13" t="s">
        <v>2198</v>
      </c>
      <c r="I5" s="13" t="s">
        <v>2199</v>
      </c>
      <c r="J5" s="13" t="s">
        <v>210</v>
      </c>
      <c r="K5" s="13" t="s">
        <v>117</v>
      </c>
      <c r="L5" s="13" t="s">
        <v>2200</v>
      </c>
    </row>
    <row r="6" spans="1:12" ht="23.25" customHeight="1" x14ac:dyDescent="0.35">
      <c r="A6" s="11" t="s">
        <v>2201</v>
      </c>
      <c r="B6" s="11" t="s">
        <v>2202</v>
      </c>
      <c r="C6" s="11" t="s">
        <v>2203</v>
      </c>
      <c r="D6" s="11" t="s">
        <v>1742</v>
      </c>
      <c r="E6" s="11" t="s">
        <v>2204</v>
      </c>
      <c r="F6" s="11" t="s">
        <v>2205</v>
      </c>
      <c r="G6" s="11" t="s">
        <v>2206</v>
      </c>
      <c r="H6" s="11" t="s">
        <v>2207</v>
      </c>
      <c r="I6" s="11" t="s">
        <v>2196</v>
      </c>
      <c r="J6" s="11" t="s">
        <v>215</v>
      </c>
      <c r="K6" s="11" t="s">
        <v>2208</v>
      </c>
      <c r="L6" s="11" t="s">
        <v>2209</v>
      </c>
    </row>
    <row r="7" spans="1:12" ht="23.25" customHeight="1" x14ac:dyDescent="0.35">
      <c r="A7" s="10" t="s">
        <v>2210</v>
      </c>
      <c r="B7" s="10" t="s">
        <v>2211</v>
      </c>
      <c r="C7" s="10" t="s">
        <v>2212</v>
      </c>
      <c r="D7" s="10" t="s">
        <v>1762</v>
      </c>
      <c r="E7" s="10" t="s">
        <v>2213</v>
      </c>
      <c r="F7" s="10" t="s">
        <v>2214</v>
      </c>
      <c r="G7" s="10" t="s">
        <v>2215</v>
      </c>
      <c r="H7" s="10" t="s">
        <v>2216</v>
      </c>
      <c r="I7" s="10" t="s">
        <v>2196</v>
      </c>
      <c r="J7" s="10" t="s">
        <v>215</v>
      </c>
      <c r="K7" s="10" t="s">
        <v>2208</v>
      </c>
      <c r="L7" s="10" t="s">
        <v>2217</v>
      </c>
    </row>
    <row r="8" spans="1:12" ht="23.25" customHeight="1" x14ac:dyDescent="0.35">
      <c r="A8" s="11" t="s">
        <v>2218</v>
      </c>
      <c r="B8" s="11" t="s">
        <v>2219</v>
      </c>
      <c r="C8" s="11" t="s">
        <v>2220</v>
      </c>
      <c r="D8" s="11" t="s">
        <v>2221</v>
      </c>
      <c r="E8" s="11" t="s">
        <v>2222</v>
      </c>
      <c r="F8" s="11" t="s">
        <v>2223</v>
      </c>
      <c r="G8" s="11" t="s">
        <v>2206</v>
      </c>
      <c r="H8" s="11" t="s">
        <v>2224</v>
      </c>
      <c r="I8" s="11" t="s">
        <v>2196</v>
      </c>
      <c r="J8" s="11" t="s">
        <v>219</v>
      </c>
      <c r="K8" s="11" t="s">
        <v>2208</v>
      </c>
      <c r="L8" s="11" t="s">
        <v>2225</v>
      </c>
    </row>
    <row r="9" spans="1:12" ht="23.25" customHeight="1" x14ac:dyDescent="0.35">
      <c r="A9" s="10" t="s">
        <v>2226</v>
      </c>
      <c r="B9" s="10" t="s">
        <v>2227</v>
      </c>
      <c r="C9" s="10" t="s">
        <v>2228</v>
      </c>
      <c r="D9" s="10" t="s">
        <v>1495</v>
      </c>
      <c r="E9" s="10" t="s">
        <v>2229</v>
      </c>
      <c r="F9" s="10" t="s">
        <v>2230</v>
      </c>
      <c r="G9" s="10" t="s">
        <v>2215</v>
      </c>
      <c r="H9" s="10" t="s">
        <v>2231</v>
      </c>
      <c r="I9" s="10" t="s">
        <v>2195</v>
      </c>
      <c r="J9" s="10" t="s">
        <v>227</v>
      </c>
      <c r="K9" s="10" t="s">
        <v>2232</v>
      </c>
      <c r="L9" s="10" t="s">
        <v>2233</v>
      </c>
    </row>
    <row r="10" spans="1:12" ht="23.25" customHeight="1" x14ac:dyDescent="0.35">
      <c r="A10" s="11" t="s">
        <v>2234</v>
      </c>
      <c r="B10" s="11" t="s">
        <v>2235</v>
      </c>
      <c r="C10" s="11" t="s">
        <v>2236</v>
      </c>
      <c r="D10" s="11" t="s">
        <v>1761</v>
      </c>
      <c r="E10" s="11" t="s">
        <v>2237</v>
      </c>
      <c r="F10" s="11" t="s">
        <v>2205</v>
      </c>
      <c r="G10" s="11" t="s">
        <v>2206</v>
      </c>
      <c r="H10" s="11" t="s">
        <v>2238</v>
      </c>
      <c r="I10" s="11" t="s">
        <v>2196</v>
      </c>
      <c r="J10" s="11" t="s">
        <v>215</v>
      </c>
      <c r="K10" s="11" t="s">
        <v>2208</v>
      </c>
      <c r="L10" s="11" t="s">
        <v>2239</v>
      </c>
    </row>
    <row r="11" spans="1:12" ht="23.25" customHeight="1" x14ac:dyDescent="0.35">
      <c r="A11" s="10" t="s">
        <v>2240</v>
      </c>
      <c r="B11" s="10" t="s">
        <v>2241</v>
      </c>
      <c r="C11" s="10" t="s">
        <v>2242</v>
      </c>
      <c r="D11" s="10" t="s">
        <v>2243</v>
      </c>
      <c r="E11" s="10" t="s">
        <v>2244</v>
      </c>
      <c r="F11" s="10" t="s">
        <v>2245</v>
      </c>
      <c r="G11" s="10" t="s">
        <v>2246</v>
      </c>
      <c r="H11" s="10" t="s">
        <v>184</v>
      </c>
      <c r="I11" s="10" t="s">
        <v>2247</v>
      </c>
      <c r="J11" s="10" t="s">
        <v>2247</v>
      </c>
      <c r="K11" s="10" t="s">
        <v>2248</v>
      </c>
      <c r="L11" s="10" t="s">
        <v>2249</v>
      </c>
    </row>
    <row r="12" spans="1:12" ht="15" customHeight="1" x14ac:dyDescent="0.35">
      <c r="A12" s="11" t="s">
        <v>2250</v>
      </c>
      <c r="B12" s="11" t="s">
        <v>2251</v>
      </c>
      <c r="C12" s="11" t="s">
        <v>2252</v>
      </c>
      <c r="D12" s="11" t="s">
        <v>2253</v>
      </c>
      <c r="E12" s="11" t="s">
        <v>2244</v>
      </c>
      <c r="F12" s="11" t="s">
        <v>2214</v>
      </c>
      <c r="G12" s="11" t="s">
        <v>2215</v>
      </c>
      <c r="H12" s="11" t="s">
        <v>184</v>
      </c>
      <c r="I12" s="11" t="s">
        <v>2247</v>
      </c>
      <c r="J12" s="11" t="s">
        <v>2247</v>
      </c>
      <c r="K12" s="11" t="s">
        <v>2248</v>
      </c>
      <c r="L12" s="11" t="s">
        <v>2254</v>
      </c>
    </row>
    <row r="13" spans="1:12" ht="23.25" customHeight="1" x14ac:dyDescent="0.35">
      <c r="A13" s="10" t="s">
        <v>2255</v>
      </c>
      <c r="B13" s="10" t="s">
        <v>2256</v>
      </c>
      <c r="C13" s="10" t="s">
        <v>2257</v>
      </c>
      <c r="D13" s="10" t="s">
        <v>2258</v>
      </c>
      <c r="E13" s="10" t="s">
        <v>2259</v>
      </c>
      <c r="F13" s="10"/>
      <c r="G13" s="10" t="s">
        <v>2206</v>
      </c>
      <c r="H13" s="10" t="s">
        <v>230</v>
      </c>
      <c r="I13" s="10" t="s">
        <v>2247</v>
      </c>
      <c r="J13" s="10" t="s">
        <v>2247</v>
      </c>
      <c r="K13" s="10" t="s">
        <v>230</v>
      </c>
      <c r="L13" s="10" t="s">
        <v>2260</v>
      </c>
    </row>
    <row r="16" spans="1:12" ht="15" customHeight="1" x14ac:dyDescent="0.35">
      <c r="A16" s="1" t="s">
        <v>2261</v>
      </c>
      <c r="B16" s="1"/>
      <c r="C16" s="1"/>
      <c r="D16" s="1"/>
    </row>
    <row r="17" spans="1:2" ht="15" customHeight="1" x14ac:dyDescent="0.35">
      <c r="A17" s="12" t="s">
        <v>2262</v>
      </c>
      <c r="B17" s="18">
        <f>COUNTA(A6:A13)</f>
        <v>8</v>
      </c>
    </row>
    <row r="18" spans="1:2" ht="15" customHeight="1" x14ac:dyDescent="0.35">
      <c r="A18" s="12" t="s">
        <v>2263</v>
      </c>
      <c r="B18" s="19">
        <f>COUNTIF(I6:I13,"Variant")/MAX(1,COUNTIF(K6:K13,"Shipped")+COUNTIF(K6:K13,"Learning"))</f>
        <v>0.8</v>
      </c>
    </row>
    <row r="19" spans="1:2" ht="15" customHeight="1" x14ac:dyDescent="0.35">
      <c r="A19" s="12" t="s">
        <v>2264</v>
      </c>
      <c r="B19" s="18">
        <f>COUNTIF(K6:K13,"Running")</f>
        <v>2</v>
      </c>
    </row>
    <row r="20" spans="1:2" ht="15" customHeight="1" x14ac:dyDescent="0.35">
      <c r="A20" s="12" t="s">
        <v>2265</v>
      </c>
      <c r="B20" s="18">
        <f>COUNTIF(K6:K13,"Shipped")</f>
        <v>4</v>
      </c>
    </row>
  </sheetData>
  <mergeCells count="4">
    <mergeCell ref="A1:L1"/>
    <mergeCell ref="A2:L2"/>
    <mergeCell ref="A3:L3"/>
    <mergeCell ref="A16:D16"/>
  </mergeCells>
  <dataValidations count="3">
    <dataValidation type="list" allowBlank="1" sqref="K6:K50" xr:uid="{00000000-0002-0000-1D00-000000000000}">
      <formula1>"Planned,Running,Shipped,Learning,Abandoned"</formula1>
      <formula2>0</formula2>
    </dataValidation>
    <dataValidation type="list" allowBlank="1" sqref="I6:I50" xr:uid="{00000000-0002-0000-1D00-000001000000}">
      <formula1>"Control,Variant,Inconclusive,No Winner"</formula1>
      <formula2>0</formula2>
    </dataValidation>
    <dataValidation type="list" allowBlank="1" sqref="J6:J50" xr:uid="{00000000-0002-0000-1D00-000002000000}">
      <formula1>"Critical,High,Medium,Low"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00_README</vt:lpstr>
      <vt:lpstr>01_Founder_Hub</vt:lpstr>
      <vt:lpstr>02_Master_Tasks</vt:lpstr>
      <vt:lpstr>03_Naming</vt:lpstr>
      <vt:lpstr>04_Legal</vt:lpstr>
      <vt:lpstr>05_Product_Roadmap</vt:lpstr>
      <vt:lpstr>06_MVP_Sprint</vt:lpstr>
      <vt:lpstr>07_AI_ML</vt:lpstr>
      <vt:lpstr>08_Engineering</vt:lpstr>
      <vt:lpstr>09_Mobile_App</vt:lpstr>
      <vt:lpstr>10_Web_App</vt:lpstr>
      <vt:lpstr>11_Backend</vt:lpstr>
      <vt:lpstr>12_DevOps</vt:lpstr>
      <vt:lpstr>13_Hiring</vt:lpstr>
      <vt:lpstr>14_Fundraising</vt:lpstr>
      <vt:lpstr>15_Investors</vt:lpstr>
      <vt:lpstr>16_Budget</vt:lpstr>
      <vt:lpstr>17_Revenue</vt:lpstr>
      <vt:lpstr>18_GTM</vt:lpstr>
      <vt:lpstr>19_Content</vt:lpstr>
      <vt:lpstr>20_Feedback</vt:lpstr>
      <vt:lpstr>21_War_Room</vt:lpstr>
      <vt:lpstr>22_KPI_Dashboard</vt:lpstr>
      <vt:lpstr>23_Risk</vt:lpstr>
      <vt:lpstr>24_Meetings</vt:lpstr>
      <vt:lpstr>25_Decisions</vt:lpstr>
      <vt:lpstr>26_SOPs</vt:lpstr>
      <vt:lpstr>27_Competitors</vt:lpstr>
      <vt:lpstr>28_User_Research</vt:lpstr>
      <vt:lpstr>29_Growth_Exp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Daulat Bodle, Pavel</cp:lastModifiedBy>
  <cp:revision>0</cp:revision>
  <dcterms:created xsi:type="dcterms:W3CDTF">2026-05-10T10:12:31Z</dcterms:created>
  <dcterms:modified xsi:type="dcterms:W3CDTF">2026-05-10T10:18:20Z</dcterms:modified>
  <dc:language>en-US</dc:language>
</cp:coreProperties>
</file>